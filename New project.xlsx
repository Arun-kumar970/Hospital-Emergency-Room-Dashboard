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runk\Desktop\"/>
    </mc:Choice>
  </mc:AlternateContent>
  <xr:revisionPtr revIDLastSave="0" documentId="8_{8A3EF436-472F-464C-8A5A-F395D6D52169}" xr6:coauthVersionLast="47" xr6:coauthVersionMax="47" xr10:uidLastSave="{00000000-0000-0000-0000-000000000000}"/>
  <bookViews>
    <workbookView xWindow="-108" yWindow="-108" windowWidth="23256" windowHeight="12456" activeTab="1" xr2:uid="{FADAC80E-542D-4612-B2F5-360A3480B100}"/>
  </bookViews>
  <sheets>
    <sheet name="Pivot report" sheetId="1" r:id="rId1"/>
    <sheet name="Dashboard" sheetId="2" r:id="rId2"/>
    <sheet name="Avg wait time daily trend" sheetId="4" r:id="rId3"/>
    <sheet name="Daily ER No of patients" sheetId="3" r:id="rId4"/>
    <sheet name="Satisfaction score daily trend" sheetId="5" r:id="rId5"/>
  </sheets>
  <definedNames>
    <definedName name="Slicer_Date__Month">#N/A</definedName>
    <definedName name="Slicer_Date__Year">#N/A</definedName>
  </definedNames>
  <calcPr calcId="191029"/>
  <customWorkbookViews>
    <customWorkbookView name="arun" guid="{DCC95652-F2C7-4D4A-8A85-AE67624C57F9}" maximized="1" xWindow="-9" yWindow="-9" windowWidth="1938" windowHeight="1038" activeSheetId="2"/>
  </customWorkbookViews>
  <pivotCaches>
    <pivotCache cacheId="1837" r:id="rId6"/>
    <pivotCache cacheId="1840" r:id="rId7"/>
    <pivotCache cacheId="1843" r:id="rId8"/>
    <pivotCache cacheId="1846" r:id="rId9"/>
    <pivotCache cacheId="1849" r:id="rId10"/>
    <pivotCache cacheId="1852" r:id="rId11"/>
    <pivotCache cacheId="1855" r:id="rId12"/>
    <pivotCache cacheId="1858" r:id="rId13"/>
    <pivotCache cacheId="1861" r:id="rId14"/>
    <pivotCache cacheId="1864" r:id="rId15"/>
    <pivotCache cacheId="1867" r:id="rId16"/>
    <pivotCache cacheId="1870" r:id="rId17"/>
  </pivotCaches>
  <extLst>
    <ext xmlns:x14="http://schemas.microsoft.com/office/spreadsheetml/2009/9/main" uri="{876F7934-8845-4945-9796-88D515C7AA90}">
      <x14:pivotCaches>
        <pivotCache cacheId="98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ef8cfda-a67c-448f-baf7-5718830cb588" name="Hospital Emergency Room Data" connection="Query - Hospital Emergency Room Data"/>
          <x15:modelTable id="Calender_Table_fe582227-0a45-4c2c-976e-d792a14531d8"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5" i="1" l="1"/>
  <c r="B25" i="1"/>
  <c r="C25" i="1"/>
  <c r="A26" i="1"/>
  <c r="B26" i="1"/>
  <c r="C26" i="1"/>
  <c r="I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2281C1-55C0-4385-8AE0-4E4642A4A1C3}" name="Query - Calender_Table" description="Connection to the 'Calender_Table' query in the workbook." type="100" refreshedVersion="8" minRefreshableVersion="5">
    <extLst>
      <ext xmlns:x15="http://schemas.microsoft.com/office/spreadsheetml/2010/11/main" uri="{DE250136-89BD-433C-8126-D09CA5730AF9}">
        <x15:connection id="bc7c8876-e56d-4e41-b69a-be1fb15f5956"/>
      </ext>
    </extLst>
  </connection>
  <connection id="2" xr16:uid="{BDCEB559-3F28-4EBC-80AA-672D7BC45A2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6cf31aa-95b5-43a9-a37a-099a644f8c2e"/>
      </ext>
    </extLst>
  </connection>
  <connection id="3" xr16:uid="{BEF471B8-5AE7-4D14-A187-3A4A04DB413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<sst xmlns="http://schemas.openxmlformats.org/spreadsheetml/2006/main" count="157" uniqueCount="75">
  <si>
    <t>Row Labels</t>
  </si>
  <si>
    <t>Grand Total</t>
  </si>
  <si>
    <t>Distinct Count of Patient Id</t>
  </si>
  <si>
    <t>Average of Patient Waittime</t>
  </si>
  <si>
    <t>Average of Patient Satisfaction Score</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</si>
  <si>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</si>
  <si>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</si>
  <si>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</si>
  <si>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</si>
  <si>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</si>
  <si>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</si>
  <si>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</si>
  <si>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</si>
  <si>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</si>
  <si>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</si>
  <si>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</si>
  <si>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</si>
  <si>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</si>
  <si>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</si>
  <si>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</si>
  <si>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</si>
  <si>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</si>
  <si>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</si>
  <si>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</si>
  <si>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</si>
  <si>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</si>
  <si>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</si>
  <si>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</si>
  <si>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</si>
  <si>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</si>
  <si>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</si>
  <si>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</si>
  <si>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</si>
  <si>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</si>
  <si>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</si>
  <si>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</si>
  <si>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</si>
  <si>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Show a daily trend with an area spot patten like busy days or seasonal trends.</t>
  </si>
  <si>
    <t>Daily trends of No of patients</t>
  </si>
  <si>
    <t>Avg wait time</t>
  </si>
  <si>
    <t>Use an area chat to track daily challenge and highlight days with longer wait times that might need improvemet</t>
  </si>
  <si>
    <t>Satisafaction score daily trend</t>
  </si>
  <si>
    <t xml:space="preserve"> </t>
  </si>
  <si>
    <t>Count of Patient Attend Status</t>
  </si>
  <si>
    <t>Delay</t>
  </si>
  <si>
    <t>On time</t>
  </si>
  <si>
    <t>Admitted</t>
  </si>
  <si>
    <t>Not Admitted</t>
  </si>
  <si>
    <t>Count of Patient Attend Status2</t>
  </si>
  <si>
    <t>Admission Status</t>
  </si>
  <si>
    <t>No of patient</t>
  </si>
  <si>
    <t>%Status</t>
  </si>
  <si>
    <t>0-09</t>
  </si>
  <si>
    <t>10-19</t>
  </si>
  <si>
    <t>20-29</t>
  </si>
  <si>
    <t>30-39</t>
  </si>
  <si>
    <t>40-49</t>
  </si>
  <si>
    <t>50-59</t>
  </si>
  <si>
    <t>60-69</t>
  </si>
  <si>
    <t>70-79</t>
  </si>
  <si>
    <t>Count of Age Group</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</si>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</sst>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sz val="14"/>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3" tint="0.49998474074526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0" fontId="0" fillId="3" borderId="0" xfId="0" applyFill="1"/>
    <xf numFmtId="0" fontId="0" fillId="3" borderId="0" xfId="0" applyFill="1" applyAlignment="1">
      <alignment horizontal="center"/>
    </xf>
    <xf numFmtId="0" fontId="2" fillId="3" borderId="0" xfId="0" applyFont="1" applyFill="1" applyAlignment="1">
      <alignment horizontal="center"/>
    </xf>
    <xf numFmtId="1" fontId="0" fillId="0" borderId="0" xfId="0" applyNumberFormat="1"/>
    <xf numFmtId="0" fontId="2" fillId="3" borderId="0" xfId="0" applyFont="1" applyFill="1" applyAlignment="1"/>
    <xf numFmtId="10" fontId="0" fillId="0" borderId="0" xfId="0" applyNumberFormat="1"/>
    <xf numFmtId="0" fontId="0" fillId="4" borderId="0" xfId="0" applyFill="1"/>
    <xf numFmtId="0" fontId="0" fillId="4" borderId="0" xfId="0" applyFill="1" applyAlignment="1">
      <alignment horizontal="center"/>
    </xf>
    <xf numFmtId="0" fontId="0" fillId="5" borderId="0" xfId="0" applyFill="1" applyAlignment="1">
      <alignment horizontal="center"/>
    </xf>
    <xf numFmtId="9" fontId="0" fillId="5" borderId="0" xfId="1" applyFont="1" applyFill="1" applyAlignment="1">
      <alignment horizontal="center"/>
    </xf>
    <xf numFmtId="0" fontId="0" fillId="5" borderId="0" xfId="0" applyFill="1"/>
  </cellXfs>
  <cellStyles count="2">
    <cellStyle name="Normal" xfId="0" builtinId="0"/>
    <cellStyle name="Percent" xfId="1" builtinId="5"/>
  </cellStyles>
  <dxfs count="171">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font>
        <b/>
        <color theme="1"/>
      </font>
      <border>
        <bottom style="thin">
          <color theme="5"/>
        </bottom>
        <vertical/>
        <horizontal/>
      </border>
    </dxf>
    <dxf>
      <font>
        <sz val="6"/>
        <color theme="1"/>
      </font>
      <fill>
        <patternFill patternType="none">
          <bgColor auto="1"/>
        </patternFill>
      </fill>
      <border diagonalUp="0" diagonalDown="0">
        <left/>
        <right/>
        <top/>
        <bottom/>
        <vertical/>
        <horizontal/>
      </border>
    </dxf>
    <dxf>
      <numFmt numFmtId="1" formatCode="0"/>
    </dxf>
    <dxf>
      <numFmt numFmtId="1" formatCode="0"/>
    </dxf>
  </dxfs>
  <tableStyles count="1" defaultTableStyle="TableStyleMedium2" defaultPivotStyle="PivotStyleLight16">
    <tableStyle name="My style" pivot="0" table="0" count="10" xr9:uid="{978B1D20-A9B1-486D-80C1-FE5B49827871}">
      <tableStyleElement type="wholeTable" dxfId="168"/>
      <tableStyleElement type="headerRow" dxfId="16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report!PivotTable16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E6087E-C12C-4317-93A9-575780806784}"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54B399-2F9C-4627-ADCB-B21208F22F2A}"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54B399-2F9C-4627-ADCB-B21208F22F2A}"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E6087E-C12C-4317-93A9-575780806784}"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none" lIns="0" tIns="72000" rIns="0" bIns="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9"/>
        <c:spPr>
          <a:solidFill>
            <a:schemeClr val="accent1"/>
          </a:solidFill>
          <a:ln>
            <a:noFill/>
          </a:ln>
          <a:effectLst/>
        </c:spPr>
        <c:dLbl>
          <c:idx val="0"/>
          <c:layout>
            <c:manualLayout>
              <c:x val="7.5094118947901826E-3"/>
              <c:y val="6.9289482729460034E-2"/>
            </c:manualLayout>
          </c:layout>
          <c:tx>
            <c:rich>
              <a:bodyPr rot="0" spcFirstLastPara="1" vertOverflow="ellipsis" vert="horz" wrap="none" lIns="0" tIns="72000" rIns="0" bIns="0" anchor="ctr" anchorCtr="1">
                <a:spAutoFit/>
              </a:bodyPr>
              <a:lstStyle/>
              <a:p>
                <a:pPr>
                  <a:defRPr sz="400" b="0" i="0" u="none" strike="noStrike" kern="1200" baseline="0">
                    <a:solidFill>
                      <a:schemeClr val="tx1">
                        <a:lumMod val="75000"/>
                        <a:lumOff val="25000"/>
                      </a:schemeClr>
                    </a:solidFill>
                    <a:latin typeface="+mn-lt"/>
                    <a:ea typeface="+mn-ea"/>
                    <a:cs typeface="+mn-cs"/>
                  </a:defRPr>
                </a:pPr>
                <a:fld id="{D654B399-2F9C-4627-ADCB-B21208F22F2A}" type="CELLRANGE">
                  <a:rPr lang="en-US" sz="800"/>
                  <a:pPr>
                    <a:defRPr sz="400"/>
                  </a:pPr>
                  <a:t>[CELLRANGE]</a:t>
                </a:fld>
                <a:r>
                  <a:rPr lang="en-US" sz="800" baseline="0"/>
                  <a:t>, </a:t>
                </a:r>
              </a:p>
            </c:rich>
          </c:tx>
          <c:spPr>
            <a:noFill/>
            <a:ln>
              <a:noFill/>
            </a:ln>
            <a:effectLst/>
          </c:spPr>
          <c:txPr>
            <a:bodyPr rot="0" spcFirstLastPara="1" vertOverflow="ellipsis" vert="horz" wrap="none" lIns="0" tIns="72000" rIns="0" bIns="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0"/>
        <c:spPr>
          <a:solidFill>
            <a:schemeClr val="accent1"/>
          </a:solidFill>
          <a:ln>
            <a:noFill/>
          </a:ln>
          <a:effectLst/>
        </c:spPr>
        <c:dLbl>
          <c:idx val="0"/>
          <c:tx>
            <c:rich>
              <a:bodyPr rot="0" spcFirstLastPara="1" vertOverflow="ellipsis" vert="horz" wrap="none" lIns="0" tIns="72000" rIns="0" bIns="0" anchor="ctr" anchorCtr="1">
                <a:spAutoFit/>
              </a:bodyPr>
              <a:lstStyle/>
              <a:p>
                <a:pPr>
                  <a:defRPr sz="400" b="0" i="0" u="none" strike="noStrike" kern="1200" baseline="0">
                    <a:solidFill>
                      <a:schemeClr val="tx1">
                        <a:lumMod val="75000"/>
                        <a:lumOff val="25000"/>
                      </a:schemeClr>
                    </a:solidFill>
                    <a:latin typeface="+mn-lt"/>
                    <a:ea typeface="+mn-ea"/>
                    <a:cs typeface="+mn-cs"/>
                  </a:defRPr>
                </a:pPr>
                <a:fld id="{BAE6087E-C12C-4317-93A9-575780806784}" type="CELLRANGE">
                  <a:rPr lang="en-US" sz="800"/>
                  <a:pPr>
                    <a:defRPr sz="400"/>
                  </a:pPr>
                  <a:t>[CELLRANGE]</a:t>
                </a:fld>
                <a:r>
                  <a:rPr lang="en-US" sz="800" baseline="0"/>
                  <a:t>, </a:t>
                </a:r>
              </a:p>
            </c:rich>
          </c:tx>
          <c:spPr>
            <a:noFill/>
            <a:ln>
              <a:noFill/>
            </a:ln>
            <a:effectLst/>
          </c:spPr>
          <c:txPr>
            <a:bodyPr rot="0" spcFirstLastPara="1" vertOverflow="ellipsis" vert="horz" wrap="none" lIns="0" tIns="72000" rIns="0" bIns="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048259222669573E-3"/>
          <c:y val="0.23689087927722"/>
          <c:w val="0.86129382971012691"/>
          <c:h val="0.63896331254205752"/>
        </c:manualLayout>
      </c:layout>
      <c:barChart>
        <c:barDir val="bar"/>
        <c:grouping val="clustered"/>
        <c:varyColors val="0"/>
        <c:ser>
          <c:idx val="0"/>
          <c:order val="0"/>
          <c:tx>
            <c:strRef>
              <c:f>'Pivot report'!$C$16:$C$17</c:f>
              <c:strCache>
                <c:ptCount val="1"/>
                <c:pt idx="0">
                  <c:v>Count of Patient Attend Status</c:v>
                </c:pt>
              </c:strCache>
            </c:strRef>
          </c:tx>
          <c:spPr>
            <a:solidFill>
              <a:schemeClr val="accent1"/>
            </a:solidFill>
            <a:ln>
              <a:noFill/>
            </a:ln>
            <a:effectLst/>
          </c:spPr>
          <c:invertIfNegative val="0"/>
          <c:dLbls>
            <c:dLbl>
              <c:idx val="0"/>
              <c:layout>
                <c:manualLayout>
                  <c:x val="7.5094118947901826E-3"/>
                  <c:y val="6.9289482729460034E-2"/>
                </c:manualLayout>
              </c:layout>
              <c:tx>
                <c:rich>
                  <a:bodyPr/>
                  <a:lstStyle/>
                  <a:p>
                    <a:fld id="{D654B399-2F9C-4627-ADCB-B21208F22F2A}" type="CELLRANGE">
                      <a:rPr lang="en-US" sz="800"/>
                      <a:pPr/>
                      <a:t>[CELLRANGE]</a:t>
                    </a:fld>
                    <a:r>
                      <a:rPr lang="en-US" sz="800"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17A-4505-9E35-4F560B423F61}"/>
                </c:ext>
              </c:extLst>
            </c:dLbl>
            <c:dLbl>
              <c:idx val="1"/>
              <c:tx>
                <c:rich>
                  <a:bodyPr/>
                  <a:lstStyle/>
                  <a:p>
                    <a:fld id="{BAE6087E-C12C-4317-93A9-575780806784}" type="CELLRANGE">
                      <a:rPr lang="en-US" sz="800"/>
                      <a:pPr/>
                      <a:t>[CELLRANGE]</a:t>
                    </a:fld>
                    <a:r>
                      <a:rPr lang="en-US" sz="800"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17A-4505-9E35-4F560B423F61}"/>
                </c:ext>
              </c:extLst>
            </c:dLbl>
            <c:spPr>
              <a:noFill/>
              <a:ln>
                <a:noFill/>
              </a:ln>
              <a:effectLst/>
            </c:spPr>
            <c:txPr>
              <a:bodyPr rot="0" spcFirstLastPara="1" vertOverflow="ellipsis" vert="horz" wrap="none" lIns="0" tIns="72000" rIns="0" bIns="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report'!$C$16:$C$17</c:f>
              <c:strCache>
                <c:ptCount val="2"/>
                <c:pt idx="0">
                  <c:v>Admitted</c:v>
                </c:pt>
                <c:pt idx="1">
                  <c:v>Not Admitted</c:v>
                </c:pt>
              </c:strCache>
            </c:strRef>
          </c:cat>
          <c:val>
            <c:numRef>
              <c:f>'Pivot report'!$C$16:$C$17</c:f>
              <c:numCache>
                <c:formatCode>0.00</c:formatCode>
                <c:ptCount val="2"/>
                <c:pt idx="0">
                  <c:v>229</c:v>
                </c:pt>
                <c:pt idx="1">
                  <c:v>251</c:v>
                </c:pt>
              </c:numCache>
            </c:numRef>
          </c:val>
          <c:extLst>
            <c:ext xmlns:c15="http://schemas.microsoft.com/office/drawing/2012/chart" uri="{02D57815-91ED-43cb-92C2-25804820EDAC}">
              <c15:datalabelsRange>
                <c15:f>'Pivot report'!$C$16:$C$17</c15:f>
                <c15:dlblRangeCache>
                  <c:ptCount val="2"/>
                  <c:pt idx="0">
                    <c:v>47.71%</c:v>
                  </c:pt>
                  <c:pt idx="1">
                    <c:v>52.29%</c:v>
                  </c:pt>
                </c15:dlblRangeCache>
              </c15:datalabelsRange>
            </c:ext>
            <c:ext xmlns:c16="http://schemas.microsoft.com/office/drawing/2014/chart" uri="{C3380CC4-5D6E-409C-BE32-E72D297353CC}">
              <c16:uniqueId val="{00000002-217A-4505-9E35-4F560B423F61}"/>
            </c:ext>
          </c:extLst>
        </c:ser>
        <c:ser>
          <c:idx val="1"/>
          <c:order val="1"/>
          <c:tx>
            <c:strRef>
              <c:f>'Pivot report'!$C$16:$C$17</c:f>
              <c:strCache>
                <c:ptCount val="1"/>
                <c:pt idx="0">
                  <c:v>Count of Patient Attend Status2</c:v>
                </c:pt>
              </c:strCache>
            </c:strRef>
          </c:tx>
          <c:spPr>
            <a:solidFill>
              <a:schemeClr val="accent2"/>
            </a:solidFill>
            <a:ln>
              <a:noFill/>
            </a:ln>
            <a:effectLst/>
          </c:spPr>
          <c:invertIfNegative val="0"/>
          <c:cat>
            <c:strRef>
              <c:f>'Pivot report'!$C$16:$C$17</c:f>
              <c:strCache>
                <c:ptCount val="2"/>
                <c:pt idx="0">
                  <c:v>Admitted</c:v>
                </c:pt>
                <c:pt idx="1">
                  <c:v>Not Admitted</c:v>
                </c:pt>
              </c:strCache>
            </c:strRef>
          </c:cat>
          <c:val>
            <c:numRef>
              <c:f>'Pivot report'!$C$16:$C$17</c:f>
              <c:numCache>
                <c:formatCode>0.00%</c:formatCode>
                <c:ptCount val="2"/>
                <c:pt idx="0">
                  <c:v>0.47708333333333336</c:v>
                </c:pt>
                <c:pt idx="1">
                  <c:v>0.5229166666666667</c:v>
                </c:pt>
              </c:numCache>
            </c:numRef>
          </c:val>
          <c:extLst>
            <c:ext xmlns:c16="http://schemas.microsoft.com/office/drawing/2014/chart" uri="{C3380CC4-5D6E-409C-BE32-E72D297353CC}">
              <c16:uniqueId val="{00000003-217A-4505-9E35-4F560B423F61}"/>
            </c:ext>
          </c:extLst>
        </c:ser>
        <c:dLbls>
          <c:showLegendKey val="0"/>
          <c:showVal val="0"/>
          <c:showCatName val="0"/>
          <c:showSerName val="0"/>
          <c:showPercent val="0"/>
          <c:showBubbleSize val="0"/>
        </c:dLbls>
        <c:gapWidth val="182"/>
        <c:axId val="662637695"/>
        <c:axId val="662632415"/>
      </c:barChart>
      <c:catAx>
        <c:axId val="662637695"/>
        <c:scaling>
          <c:orientation val="minMax"/>
        </c:scaling>
        <c:delete val="1"/>
        <c:axPos val="l"/>
        <c:numFmt formatCode="General" sourceLinked="1"/>
        <c:majorTickMark val="none"/>
        <c:minorTickMark val="none"/>
        <c:tickLblPos val="nextTo"/>
        <c:crossAx val="662632415"/>
        <c:crosses val="autoZero"/>
        <c:auto val="1"/>
        <c:lblAlgn val="ctr"/>
        <c:lblOffset val="100"/>
        <c:noMultiLvlLbl val="0"/>
      </c:catAx>
      <c:valAx>
        <c:axId val="662632415"/>
        <c:scaling>
          <c:orientation val="minMax"/>
        </c:scaling>
        <c:delete val="1"/>
        <c:axPos val="b"/>
        <c:numFmt formatCode="0.00" sourceLinked="1"/>
        <c:majorTickMark val="none"/>
        <c:minorTickMark val="none"/>
        <c:tickLblPos val="nextTo"/>
        <c:crossAx val="66263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report'!$Q$4</c:f>
              <c:strCache>
                <c:ptCount val="1"/>
                <c:pt idx="0">
                  <c:v>Total</c:v>
                </c:pt>
              </c:strCache>
            </c:strRef>
          </c:tx>
          <c:spPr>
            <a:solidFill>
              <a:schemeClr val="accent1"/>
            </a:solidFill>
            <a:ln>
              <a:noFill/>
            </a:ln>
            <a:effectLst/>
          </c:spPr>
          <c:cat>
            <c:strRef>
              <c:f>'Pivot report'!$P$5:$P$36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report'!$Q$5:$Q$36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0-5FF2-41C1-BF20-C0FA192C351F}"/>
            </c:ext>
          </c:extLst>
        </c:ser>
        <c:dLbls>
          <c:showLegendKey val="0"/>
          <c:showVal val="0"/>
          <c:showCatName val="0"/>
          <c:showSerName val="0"/>
          <c:showPercent val="0"/>
          <c:showBubbleSize val="0"/>
        </c:dLbls>
        <c:axId val="727209071"/>
        <c:axId val="727210031"/>
      </c:areaChart>
      <c:catAx>
        <c:axId val="727209071"/>
        <c:scaling>
          <c:orientation val="minMax"/>
        </c:scaling>
        <c:delete val="1"/>
        <c:axPos val="b"/>
        <c:numFmt formatCode="General" sourceLinked="1"/>
        <c:majorTickMark val="out"/>
        <c:minorTickMark val="none"/>
        <c:tickLblPos val="nextTo"/>
        <c:crossAx val="727210031"/>
        <c:crosses val="autoZero"/>
        <c:auto val="1"/>
        <c:lblAlgn val="ctr"/>
        <c:lblOffset val="100"/>
        <c:noMultiLvlLbl val="0"/>
      </c:catAx>
      <c:valAx>
        <c:axId val="727210031"/>
        <c:scaling>
          <c:orientation val="minMax"/>
        </c:scaling>
        <c:delete val="1"/>
        <c:axPos val="l"/>
        <c:numFmt formatCode="General" sourceLinked="1"/>
        <c:majorTickMark val="none"/>
        <c:minorTickMark val="none"/>
        <c:tickLblPos val="nextTo"/>
        <c:crossAx val="72720907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report!PivotTable14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266576049954286"/>
          <c:h val="0.8118081727610853"/>
        </c:manualLayout>
      </c:layout>
      <c:areaChart>
        <c:grouping val="standard"/>
        <c:varyColors val="0"/>
        <c:ser>
          <c:idx val="0"/>
          <c:order val="0"/>
          <c:tx>
            <c:strRef>
              <c:f>'Pivot report'!$H$4</c:f>
              <c:strCache>
                <c:ptCount val="1"/>
                <c:pt idx="0">
                  <c:v>Total</c:v>
                </c:pt>
              </c:strCache>
            </c:strRef>
          </c:tx>
          <c:spPr>
            <a:solidFill>
              <a:schemeClr val="accent1"/>
            </a:solidFill>
            <a:ln>
              <a:noFill/>
            </a:ln>
            <a:effectLst/>
          </c:spPr>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35C1-452A-A711-9B6FB7ED7994}"/>
            </c:ext>
          </c:extLst>
        </c:ser>
        <c:dLbls>
          <c:showLegendKey val="0"/>
          <c:showVal val="0"/>
          <c:showCatName val="0"/>
          <c:showSerName val="0"/>
          <c:showPercent val="0"/>
          <c:showBubbleSize val="0"/>
        </c:dLbls>
        <c:axId val="295624255"/>
        <c:axId val="295625695"/>
      </c:areaChart>
      <c:catAx>
        <c:axId val="295624255"/>
        <c:scaling>
          <c:orientation val="minMax"/>
        </c:scaling>
        <c:delete val="1"/>
        <c:axPos val="b"/>
        <c:numFmt formatCode="General" sourceLinked="1"/>
        <c:majorTickMark val="out"/>
        <c:minorTickMark val="none"/>
        <c:tickLblPos val="nextTo"/>
        <c:crossAx val="295625695"/>
        <c:crosses val="autoZero"/>
        <c:auto val="1"/>
        <c:lblAlgn val="ctr"/>
        <c:lblOffset val="100"/>
        <c:noMultiLvlLbl val="0"/>
      </c:catAx>
      <c:valAx>
        <c:axId val="295625695"/>
        <c:scaling>
          <c:orientation val="minMax"/>
        </c:scaling>
        <c:delete val="1"/>
        <c:axPos val="l"/>
        <c:numFmt formatCode="0.00" sourceLinked="1"/>
        <c:majorTickMark val="none"/>
        <c:minorTickMark val="none"/>
        <c:tickLblPos val="nextTo"/>
        <c:crossAx val="295624255"/>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report!PivotTable15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864006434656725E-2"/>
          <c:y val="3.4722222222222224E-2"/>
          <c:w val="0.97496319227841177"/>
          <c:h val="0.95138888888888884"/>
        </c:manualLayout>
      </c:layout>
      <c:areaChart>
        <c:grouping val="standard"/>
        <c:varyColors val="0"/>
        <c:ser>
          <c:idx val="0"/>
          <c:order val="0"/>
          <c:tx>
            <c:strRef>
              <c:f>'Pivot report'!$M$3</c:f>
              <c:strCache>
                <c:ptCount val="1"/>
                <c:pt idx="0">
                  <c:v>Total</c:v>
                </c:pt>
              </c:strCache>
            </c:strRef>
          </c:tx>
          <c:spPr>
            <a:solidFill>
              <a:schemeClr val="accent1"/>
            </a:solidFill>
            <a:ln>
              <a:noFill/>
            </a:ln>
            <a:effectLst/>
          </c:spPr>
          <c:cat>
            <c:strRef>
              <c:f>'Pivot report'!$L$4:$L$34</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report'!$M$4:$M$34</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BA65-4179-AA8F-F6A319700ABE}"/>
            </c:ext>
          </c:extLst>
        </c:ser>
        <c:dLbls>
          <c:showLegendKey val="0"/>
          <c:showVal val="0"/>
          <c:showCatName val="0"/>
          <c:showSerName val="0"/>
          <c:showPercent val="0"/>
          <c:showBubbleSize val="0"/>
        </c:dLbls>
        <c:axId val="1156727055"/>
        <c:axId val="1156728495"/>
      </c:areaChart>
      <c:catAx>
        <c:axId val="1156727055"/>
        <c:scaling>
          <c:orientation val="minMax"/>
        </c:scaling>
        <c:delete val="1"/>
        <c:axPos val="b"/>
        <c:numFmt formatCode="General" sourceLinked="1"/>
        <c:majorTickMark val="out"/>
        <c:minorTickMark val="none"/>
        <c:tickLblPos val="nextTo"/>
        <c:crossAx val="1156728495"/>
        <c:crosses val="autoZero"/>
        <c:auto val="1"/>
        <c:lblAlgn val="ctr"/>
        <c:lblOffset val="100"/>
        <c:noMultiLvlLbl val="0"/>
      </c:catAx>
      <c:valAx>
        <c:axId val="1156728495"/>
        <c:scaling>
          <c:orientation val="minMax"/>
        </c:scaling>
        <c:delete val="1"/>
        <c:axPos val="l"/>
        <c:numFmt formatCode="0.00" sourceLinked="1"/>
        <c:majorTickMark val="none"/>
        <c:minorTickMark val="none"/>
        <c:tickLblPos val="nextTo"/>
        <c:crossAx val="1156727055"/>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report!PivotTable17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report'!$A$31:$A$39</c:f>
              <c:strCache>
                <c:ptCount val="8"/>
                <c:pt idx="0">
                  <c:v>0-09</c:v>
                </c:pt>
                <c:pt idx="1">
                  <c:v>10-19</c:v>
                </c:pt>
                <c:pt idx="2">
                  <c:v>20-29</c:v>
                </c:pt>
                <c:pt idx="3">
                  <c:v>30-39</c:v>
                </c:pt>
                <c:pt idx="4">
                  <c:v>40-49</c:v>
                </c:pt>
                <c:pt idx="5">
                  <c:v>50-59</c:v>
                </c:pt>
                <c:pt idx="6">
                  <c:v>60-69</c:v>
                </c:pt>
                <c:pt idx="7">
                  <c:v>70-79</c:v>
                </c:pt>
              </c:strCache>
            </c:strRef>
          </c:cat>
          <c:val>
            <c:numRef>
              <c:f>'Pivot report'!$B$31:$B$39</c:f>
              <c:numCache>
                <c:formatCode>0.00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0-6B03-4255-ACE1-41FCC7BBDC12}"/>
            </c:ext>
          </c:extLst>
        </c:ser>
        <c:dLbls>
          <c:showLegendKey val="0"/>
          <c:showVal val="0"/>
          <c:showCatName val="0"/>
          <c:showSerName val="0"/>
          <c:showPercent val="0"/>
          <c:showBubbleSize val="0"/>
        </c:dLbls>
        <c:gapWidth val="219"/>
        <c:overlap val="-27"/>
        <c:axId val="684167023"/>
        <c:axId val="684169423"/>
      </c:barChart>
      <c:catAx>
        <c:axId val="68416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84169423"/>
        <c:crosses val="autoZero"/>
        <c:auto val="1"/>
        <c:lblAlgn val="ctr"/>
        <c:lblOffset val="100"/>
        <c:noMultiLvlLbl val="0"/>
      </c:catAx>
      <c:valAx>
        <c:axId val="684169423"/>
        <c:scaling>
          <c:orientation val="minMax"/>
        </c:scaling>
        <c:delete val="1"/>
        <c:axPos val="l"/>
        <c:numFmt formatCode="0.00" sourceLinked="1"/>
        <c:majorTickMark val="none"/>
        <c:minorTickMark val="none"/>
        <c:tickLblPos val="nextTo"/>
        <c:crossAx val="68416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report!PivotTable18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8208738786628507"/>
          <c:y val="0.22065541037447584"/>
          <c:w val="0.50905263708751181"/>
          <c:h val="0.58904626946419336"/>
        </c:manualLayout>
      </c:layout>
      <c:pieChart>
        <c:varyColors val="1"/>
        <c:ser>
          <c:idx val="0"/>
          <c:order val="0"/>
          <c:tx>
            <c:strRef>
              <c:f>'Pivot report'!$B$42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667-4CC4-A2AC-88C1668DFEE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667-4CC4-A2AC-88C1668DFE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report'!$A$43:$A$45</c:f>
              <c:strCache>
                <c:ptCount val="2"/>
                <c:pt idx="0">
                  <c:v>Delay</c:v>
                </c:pt>
                <c:pt idx="1">
                  <c:v>On time</c:v>
                </c:pt>
              </c:strCache>
            </c:strRef>
          </c:cat>
          <c:val>
            <c:numRef>
              <c:f>'Pivot report'!$B$43:$B$45</c:f>
              <c:numCache>
                <c:formatCode>0.00</c:formatCode>
                <c:ptCount val="2"/>
                <c:pt idx="0">
                  <c:v>267</c:v>
                </c:pt>
                <c:pt idx="1">
                  <c:v>213</c:v>
                </c:pt>
              </c:numCache>
            </c:numRef>
          </c:val>
          <c:extLst>
            <c:ext xmlns:c16="http://schemas.microsoft.com/office/drawing/2014/chart" uri="{C3380CC4-5D6E-409C-BE32-E72D297353CC}">
              <c16:uniqueId val="{00000004-E667-4CC4-A2AC-88C1668DFEE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634221865731501"/>
          <c:y val="2.3942371420396708E-2"/>
          <c:w val="0.75046951071648405"/>
          <c:h val="0.17938742471379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report!PivotTable19</c:name>
    <c:fmtId val="1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5840225728338034"/>
          <c:y val="0.27824759604295884"/>
          <c:w val="0.61168527958022445"/>
          <c:h val="0.68979749309111338"/>
        </c:manualLayout>
      </c:layout>
      <c:doughnutChart>
        <c:varyColors val="1"/>
        <c:ser>
          <c:idx val="0"/>
          <c:order val="0"/>
          <c:tx>
            <c:strRef>
              <c:f>'Pivot report'!$B$49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CAF-4441-A5FF-AECB88809D1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CAF-4441-A5FF-AECB88809D18}"/>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report'!$A$50:$A$52</c:f>
              <c:strCache>
                <c:ptCount val="2"/>
                <c:pt idx="0">
                  <c:v>Female</c:v>
                </c:pt>
                <c:pt idx="1">
                  <c:v>Male</c:v>
                </c:pt>
              </c:strCache>
            </c:strRef>
          </c:cat>
          <c:val>
            <c:numRef>
              <c:f>'Pivot report'!$B$50:$B$52</c:f>
              <c:numCache>
                <c:formatCode>0.00</c:formatCode>
                <c:ptCount val="2"/>
                <c:pt idx="0">
                  <c:v>261</c:v>
                </c:pt>
                <c:pt idx="1">
                  <c:v>219</c:v>
                </c:pt>
              </c:numCache>
            </c:numRef>
          </c:val>
          <c:extLst>
            <c:ext xmlns:c16="http://schemas.microsoft.com/office/drawing/2014/chart" uri="{C3380CC4-5D6E-409C-BE32-E72D297353CC}">
              <c16:uniqueId val="{00000004-9CAF-4441-A5FF-AECB88809D18}"/>
            </c:ext>
          </c:extLst>
        </c:ser>
        <c:dLbls>
          <c:showLegendKey val="0"/>
          <c:showVal val="0"/>
          <c:showCatName val="0"/>
          <c:showSerName val="0"/>
          <c:showPercent val="1"/>
          <c:showBubbleSize val="0"/>
          <c:showLeaderLines val="1"/>
        </c:dLbls>
        <c:firstSliceAng val="0"/>
        <c:holeSize val="44"/>
      </c:doughnutChart>
      <c:spPr>
        <a:noFill/>
        <a:ln>
          <a:noFill/>
        </a:ln>
        <a:effectLst/>
      </c:spPr>
    </c:plotArea>
    <c:legend>
      <c:legendPos val="r"/>
      <c:layout>
        <c:manualLayout>
          <c:xMode val="edge"/>
          <c:yMode val="edge"/>
          <c:x val="0.36228718285214351"/>
          <c:y val="4.2244823563721223E-2"/>
          <c:w val="0.43160847715422801"/>
          <c:h val="0.1775544009292924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report!PivotTable20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report'!$B$56:$B$64</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0-77DC-4800-85FE-FCF5AFEA8590}"/>
            </c:ext>
          </c:extLst>
        </c:ser>
        <c:dLbls>
          <c:showLegendKey val="0"/>
          <c:showVal val="0"/>
          <c:showCatName val="0"/>
          <c:showSerName val="0"/>
          <c:showPercent val="0"/>
          <c:showBubbleSize val="0"/>
        </c:dLbls>
        <c:gapWidth val="182"/>
        <c:axId val="663207231"/>
        <c:axId val="663200031"/>
      </c:barChart>
      <c:catAx>
        <c:axId val="66320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3200031"/>
        <c:crosses val="autoZero"/>
        <c:auto val="1"/>
        <c:lblAlgn val="ctr"/>
        <c:lblOffset val="100"/>
        <c:noMultiLvlLbl val="0"/>
      </c:catAx>
      <c:valAx>
        <c:axId val="663200031"/>
        <c:scaling>
          <c:orientation val="minMax"/>
        </c:scaling>
        <c:delete val="1"/>
        <c:axPos val="b"/>
        <c:numFmt formatCode="0" sourceLinked="1"/>
        <c:majorTickMark val="none"/>
        <c:minorTickMark val="none"/>
        <c:tickLblPos val="nextTo"/>
        <c:crossAx val="66320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report!PivotTable14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62642169728784E-2"/>
          <c:y val="1.6447368421052631E-2"/>
          <c:w val="0.9266576049954286"/>
          <c:h val="0.8118081727610853"/>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4-E76C-42BB-8B94-4CB7D771FC9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95624255"/>
        <c:axId val="295625695"/>
      </c:areaChart>
      <c:catAx>
        <c:axId val="2956242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5625695"/>
        <c:crosses val="autoZero"/>
        <c:auto val="1"/>
        <c:lblAlgn val="ctr"/>
        <c:lblOffset val="100"/>
        <c:noMultiLvlLbl val="0"/>
      </c:catAx>
      <c:valAx>
        <c:axId val="295625695"/>
        <c:scaling>
          <c:orientation val="minMax"/>
        </c:scaling>
        <c:delete val="1"/>
        <c:axPos val="l"/>
        <c:numFmt formatCode="0.00" sourceLinked="1"/>
        <c:majorTickMark val="out"/>
        <c:minorTickMark val="none"/>
        <c:tickLblPos val="nextTo"/>
        <c:crossAx val="2956242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48548198674279E-2"/>
          <c:y val="5.2456091257077182E-2"/>
          <c:w val="0.93404761992720409"/>
          <c:h val="0.84284470002447265"/>
        </c:manualLayout>
      </c:layout>
      <c:areaChart>
        <c:grouping val="standard"/>
        <c:varyColors val="0"/>
        <c:ser>
          <c:idx val="0"/>
          <c:order val="0"/>
          <c:tx>
            <c:strRef>
              <c:f>'Pivot report'!$Q$4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report'!$P$5:$P$36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report'!$Q$5:$Q$36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4-3B07-42EC-9067-06C191942F8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27209071"/>
        <c:axId val="727210031"/>
      </c:areaChart>
      <c:catAx>
        <c:axId val="7272090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7210031"/>
        <c:crosses val="autoZero"/>
        <c:auto val="1"/>
        <c:lblAlgn val="ctr"/>
        <c:lblOffset val="100"/>
        <c:noMultiLvlLbl val="0"/>
      </c:catAx>
      <c:valAx>
        <c:axId val="727210031"/>
        <c:scaling>
          <c:orientation val="minMax"/>
        </c:scaling>
        <c:delete val="1"/>
        <c:axPos val="l"/>
        <c:numFmt formatCode="General" sourceLinked="1"/>
        <c:majorTickMark val="out"/>
        <c:minorTickMark val="none"/>
        <c:tickLblPos val="nextTo"/>
        <c:crossAx val="7272090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 report!PivotTable15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report'!$L$4:$L$34</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report'!$M$4:$M$34</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4-D252-4C94-8C7D-337E5950F17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56727055"/>
        <c:axId val="1156728495"/>
      </c:areaChart>
      <c:catAx>
        <c:axId val="11567270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56728495"/>
        <c:crosses val="autoZero"/>
        <c:auto val="1"/>
        <c:lblAlgn val="ctr"/>
        <c:lblOffset val="100"/>
        <c:noMultiLvlLbl val="0"/>
      </c:catAx>
      <c:valAx>
        <c:axId val="1156728495"/>
        <c:scaling>
          <c:orientation val="minMax"/>
        </c:scaling>
        <c:delete val="1"/>
        <c:axPos val="l"/>
        <c:numFmt formatCode="0.00" sourceLinked="1"/>
        <c:majorTickMark val="out"/>
        <c:minorTickMark val="none"/>
        <c:tickLblPos val="nextTo"/>
        <c:crossAx val="11567270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72888</xdr:colOff>
      <xdr:row>23</xdr:row>
      <xdr:rowOff>39756</xdr:rowOff>
    </xdr:from>
    <xdr:to>
      <xdr:col>3</xdr:col>
      <xdr:colOff>1464365</xdr:colOff>
      <xdr:row>26</xdr:row>
      <xdr:rowOff>46382</xdr:rowOff>
    </xdr:to>
    <xdr:graphicFrame macro="">
      <xdr:nvGraphicFramePr>
        <xdr:cNvPr id="7" name="Chart 6">
          <a:extLst>
            <a:ext uri="{FF2B5EF4-FFF2-40B4-BE49-F238E27FC236}">
              <a16:creationId xmlns:a16="http://schemas.microsoft.com/office/drawing/2014/main" id="{D2B76E7C-6B91-42BE-9154-8ACDEAC0F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376519</xdr:colOff>
      <xdr:row>0</xdr:row>
      <xdr:rowOff>40341</xdr:rowOff>
    </xdr:from>
    <xdr:to>
      <xdr:col>7</xdr:col>
      <xdr:colOff>152401</xdr:colOff>
      <xdr:row>2</xdr:row>
      <xdr:rowOff>147917</xdr:rowOff>
    </xdr:to>
    <xdr:sp macro="" textlink="">
      <xdr:nvSpPr>
        <xdr:cNvPr id="2" name="Rectangle: Rounded Corners 1">
          <a:extLst>
            <a:ext uri="{FF2B5EF4-FFF2-40B4-BE49-F238E27FC236}">
              <a16:creationId xmlns:a16="http://schemas.microsoft.com/office/drawing/2014/main" id="{B2AD0DFD-42D5-3526-E3A8-996FB43E8D1E}"/>
            </a:ext>
          </a:extLst>
        </xdr:cNvPr>
        <xdr:cNvSpPr/>
      </xdr:nvSpPr>
      <xdr:spPr>
        <a:xfrm>
          <a:off x="3424519" y="40341"/>
          <a:ext cx="995082" cy="475129"/>
        </a:xfrm>
        <a:prstGeom prst="roundRect">
          <a:avLst>
            <a:gd name="adj" fmla="val 912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85164</xdr:colOff>
      <xdr:row>0</xdr:row>
      <xdr:rowOff>49307</xdr:rowOff>
    </xdr:from>
    <xdr:to>
      <xdr:col>5</xdr:col>
      <xdr:colOff>273424</xdr:colOff>
      <xdr:row>2</xdr:row>
      <xdr:rowOff>156883</xdr:rowOff>
    </xdr:to>
    <xdr:sp macro="" textlink="">
      <xdr:nvSpPr>
        <xdr:cNvPr id="3" name="Rectangle: Rounded Corners 2">
          <a:extLst>
            <a:ext uri="{FF2B5EF4-FFF2-40B4-BE49-F238E27FC236}">
              <a16:creationId xmlns:a16="http://schemas.microsoft.com/office/drawing/2014/main" id="{31723781-36F8-327D-1948-72314D79609E}"/>
            </a:ext>
          </a:extLst>
        </xdr:cNvPr>
        <xdr:cNvSpPr/>
      </xdr:nvSpPr>
      <xdr:spPr>
        <a:xfrm>
          <a:off x="85164" y="49307"/>
          <a:ext cx="3236260" cy="475129"/>
        </a:xfrm>
        <a:prstGeom prst="roundRect">
          <a:avLst>
            <a:gd name="adj" fmla="val 723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228600</xdr:colOff>
      <xdr:row>0</xdr:row>
      <xdr:rowOff>44825</xdr:rowOff>
    </xdr:from>
    <xdr:to>
      <xdr:col>9</xdr:col>
      <xdr:colOff>439270</xdr:colOff>
      <xdr:row>6</xdr:row>
      <xdr:rowOff>138954</xdr:rowOff>
    </xdr:to>
    <xdr:sp macro="" textlink="">
      <xdr:nvSpPr>
        <xdr:cNvPr id="4" name="Rectangle: Rounded Corners 3">
          <a:extLst>
            <a:ext uri="{FF2B5EF4-FFF2-40B4-BE49-F238E27FC236}">
              <a16:creationId xmlns:a16="http://schemas.microsoft.com/office/drawing/2014/main" id="{0F9287C1-D098-C77C-98C4-88916D5F2991}"/>
            </a:ext>
          </a:extLst>
        </xdr:cNvPr>
        <xdr:cNvSpPr/>
      </xdr:nvSpPr>
      <xdr:spPr>
        <a:xfrm>
          <a:off x="4495800" y="44825"/>
          <a:ext cx="1429870" cy="1196788"/>
        </a:xfrm>
        <a:prstGeom prst="roundRect">
          <a:avLst>
            <a:gd name="adj" fmla="val 91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506506</xdr:colOff>
      <xdr:row>0</xdr:row>
      <xdr:rowOff>44824</xdr:rowOff>
    </xdr:from>
    <xdr:to>
      <xdr:col>12</xdr:col>
      <xdr:colOff>107576</xdr:colOff>
      <xdr:row>6</xdr:row>
      <xdr:rowOff>138952</xdr:rowOff>
    </xdr:to>
    <xdr:sp macro="" textlink="">
      <xdr:nvSpPr>
        <xdr:cNvPr id="5" name="Rectangle: Rounded Corners 4">
          <a:extLst>
            <a:ext uri="{FF2B5EF4-FFF2-40B4-BE49-F238E27FC236}">
              <a16:creationId xmlns:a16="http://schemas.microsoft.com/office/drawing/2014/main" id="{0B68F574-DDA6-0772-50C0-EDEBF30A0773}"/>
            </a:ext>
          </a:extLst>
        </xdr:cNvPr>
        <xdr:cNvSpPr/>
      </xdr:nvSpPr>
      <xdr:spPr>
        <a:xfrm>
          <a:off x="5992906" y="44824"/>
          <a:ext cx="1429870" cy="1196787"/>
        </a:xfrm>
        <a:prstGeom prst="roundRect">
          <a:avLst>
            <a:gd name="adj" fmla="val 880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44823</xdr:colOff>
      <xdr:row>3</xdr:row>
      <xdr:rowOff>4483</xdr:rowOff>
    </xdr:from>
    <xdr:to>
      <xdr:col>1</xdr:col>
      <xdr:colOff>201706</xdr:colOff>
      <xdr:row>14</xdr:row>
      <xdr:rowOff>94129</xdr:rowOff>
    </xdr:to>
    <xdr:sp macro="" textlink="">
      <xdr:nvSpPr>
        <xdr:cNvPr id="6" name="Rectangle: Rounded Corners 5">
          <a:extLst>
            <a:ext uri="{FF2B5EF4-FFF2-40B4-BE49-F238E27FC236}">
              <a16:creationId xmlns:a16="http://schemas.microsoft.com/office/drawing/2014/main" id="{B256A310-5599-F847-90DE-1CB3F4338144}"/>
            </a:ext>
          </a:extLst>
        </xdr:cNvPr>
        <xdr:cNvSpPr/>
      </xdr:nvSpPr>
      <xdr:spPr>
        <a:xfrm>
          <a:off x="44823" y="555812"/>
          <a:ext cx="766483" cy="2111188"/>
        </a:xfrm>
        <a:prstGeom prst="roundRect">
          <a:avLst>
            <a:gd name="adj" fmla="val 96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246528</xdr:colOff>
      <xdr:row>3</xdr:row>
      <xdr:rowOff>44823</xdr:rowOff>
    </xdr:from>
    <xdr:to>
      <xdr:col>3</xdr:col>
      <xdr:colOff>149430</xdr:colOff>
      <xdr:row>6</xdr:row>
      <xdr:rowOff>138953</xdr:rowOff>
    </xdr:to>
    <xdr:sp macro="" textlink="">
      <xdr:nvSpPr>
        <xdr:cNvPr id="7" name="Rectangle: Rounded Corners 6">
          <a:extLst>
            <a:ext uri="{FF2B5EF4-FFF2-40B4-BE49-F238E27FC236}">
              <a16:creationId xmlns:a16="http://schemas.microsoft.com/office/drawing/2014/main" id="{B6F33FD2-400F-C205-5E0C-D4E172898C84}"/>
            </a:ext>
          </a:extLst>
        </xdr:cNvPr>
        <xdr:cNvSpPr/>
      </xdr:nvSpPr>
      <xdr:spPr>
        <a:xfrm>
          <a:off x="856128" y="596152"/>
          <a:ext cx="1122102" cy="645460"/>
        </a:xfrm>
        <a:prstGeom prst="roundRect">
          <a:avLst>
            <a:gd name="adj" fmla="val 694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241289</xdr:colOff>
      <xdr:row>3</xdr:row>
      <xdr:rowOff>53788</xdr:rowOff>
    </xdr:from>
    <xdr:to>
      <xdr:col>5</xdr:col>
      <xdr:colOff>144191</xdr:colOff>
      <xdr:row>6</xdr:row>
      <xdr:rowOff>147918</xdr:rowOff>
    </xdr:to>
    <xdr:sp macro="" textlink="">
      <xdr:nvSpPr>
        <xdr:cNvPr id="10" name="Rectangle: Rounded Corners 9">
          <a:extLst>
            <a:ext uri="{FF2B5EF4-FFF2-40B4-BE49-F238E27FC236}">
              <a16:creationId xmlns:a16="http://schemas.microsoft.com/office/drawing/2014/main" id="{A9949D74-106F-8643-A1A9-71361A8DA537}"/>
            </a:ext>
          </a:extLst>
        </xdr:cNvPr>
        <xdr:cNvSpPr/>
      </xdr:nvSpPr>
      <xdr:spPr>
        <a:xfrm>
          <a:off x="2070089" y="605117"/>
          <a:ext cx="1122102" cy="645460"/>
        </a:xfrm>
        <a:prstGeom prst="roundRect">
          <a:avLst>
            <a:gd name="adj" fmla="val 763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245015</xdr:colOff>
      <xdr:row>3</xdr:row>
      <xdr:rowOff>40341</xdr:rowOff>
    </xdr:from>
    <xdr:to>
      <xdr:col>7</xdr:col>
      <xdr:colOff>147917</xdr:colOff>
      <xdr:row>6</xdr:row>
      <xdr:rowOff>134471</xdr:rowOff>
    </xdr:to>
    <xdr:sp macro="" textlink="">
      <xdr:nvSpPr>
        <xdr:cNvPr id="11" name="Rectangle: Rounded Corners 10">
          <a:extLst>
            <a:ext uri="{FF2B5EF4-FFF2-40B4-BE49-F238E27FC236}">
              <a16:creationId xmlns:a16="http://schemas.microsoft.com/office/drawing/2014/main" id="{F2FEDE12-1B2A-EDFC-1066-F0F0F57E0E74}"/>
            </a:ext>
          </a:extLst>
        </xdr:cNvPr>
        <xdr:cNvSpPr/>
      </xdr:nvSpPr>
      <xdr:spPr>
        <a:xfrm>
          <a:off x="3293015" y="591670"/>
          <a:ext cx="1122102" cy="645460"/>
        </a:xfrm>
        <a:prstGeom prst="roundRect">
          <a:avLst>
            <a:gd name="adj" fmla="val 694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233081</xdr:colOff>
      <xdr:row>9</xdr:row>
      <xdr:rowOff>174811</xdr:rowOff>
    </xdr:from>
    <xdr:to>
      <xdr:col>7</xdr:col>
      <xdr:colOff>134471</xdr:colOff>
      <xdr:row>14</xdr:row>
      <xdr:rowOff>94129</xdr:rowOff>
    </xdr:to>
    <xdr:sp macro="" textlink="">
      <xdr:nvSpPr>
        <xdr:cNvPr id="13" name="Rectangle: Rounded Corners 12">
          <a:extLst>
            <a:ext uri="{FF2B5EF4-FFF2-40B4-BE49-F238E27FC236}">
              <a16:creationId xmlns:a16="http://schemas.microsoft.com/office/drawing/2014/main" id="{20CE7FCF-CA32-090F-816A-57778865B72B}"/>
            </a:ext>
          </a:extLst>
        </xdr:cNvPr>
        <xdr:cNvSpPr/>
      </xdr:nvSpPr>
      <xdr:spPr>
        <a:xfrm>
          <a:off x="842681" y="1828799"/>
          <a:ext cx="3558990" cy="838201"/>
        </a:xfrm>
        <a:prstGeom prst="roundRect">
          <a:avLst>
            <a:gd name="adj" fmla="val 918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246528</xdr:colOff>
      <xdr:row>7</xdr:row>
      <xdr:rowOff>4482</xdr:rowOff>
    </xdr:from>
    <xdr:to>
      <xdr:col>7</xdr:col>
      <xdr:colOff>147918</xdr:colOff>
      <xdr:row>9</xdr:row>
      <xdr:rowOff>112058</xdr:rowOff>
    </xdr:to>
    <xdr:sp macro="" textlink="">
      <xdr:nvSpPr>
        <xdr:cNvPr id="14" name="Rectangle: Rounded Corners 13">
          <a:extLst>
            <a:ext uri="{FF2B5EF4-FFF2-40B4-BE49-F238E27FC236}">
              <a16:creationId xmlns:a16="http://schemas.microsoft.com/office/drawing/2014/main" id="{6E9C5C62-1C0B-FAC0-2CBE-8A451B984346}"/>
            </a:ext>
          </a:extLst>
        </xdr:cNvPr>
        <xdr:cNvSpPr/>
      </xdr:nvSpPr>
      <xdr:spPr>
        <a:xfrm>
          <a:off x="856128" y="1290917"/>
          <a:ext cx="3558990" cy="4751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224116</xdr:colOff>
      <xdr:row>7</xdr:row>
      <xdr:rowOff>22411</xdr:rowOff>
    </xdr:from>
    <xdr:to>
      <xdr:col>12</xdr:col>
      <xdr:colOff>107575</xdr:colOff>
      <xdr:row>14</xdr:row>
      <xdr:rowOff>89646</xdr:rowOff>
    </xdr:to>
    <xdr:sp macro="" textlink="">
      <xdr:nvSpPr>
        <xdr:cNvPr id="22" name="Rectangle: Rounded Corners 21">
          <a:extLst>
            <a:ext uri="{FF2B5EF4-FFF2-40B4-BE49-F238E27FC236}">
              <a16:creationId xmlns:a16="http://schemas.microsoft.com/office/drawing/2014/main" id="{8CA55A7A-76D0-280A-3A3D-25BA0657D458}"/>
            </a:ext>
          </a:extLst>
        </xdr:cNvPr>
        <xdr:cNvSpPr/>
      </xdr:nvSpPr>
      <xdr:spPr>
        <a:xfrm>
          <a:off x="4491316" y="1308846"/>
          <a:ext cx="2931459" cy="1353671"/>
        </a:xfrm>
        <a:prstGeom prst="roundRect">
          <a:avLst>
            <a:gd name="adj" fmla="val 971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569258</xdr:colOff>
      <xdr:row>0</xdr:row>
      <xdr:rowOff>112058</xdr:rowOff>
    </xdr:from>
    <xdr:to>
      <xdr:col>5</xdr:col>
      <xdr:colOff>210669</xdr:colOff>
      <xdr:row>2</xdr:row>
      <xdr:rowOff>17929</xdr:rowOff>
    </xdr:to>
    <xdr:sp macro="" textlink="">
      <xdr:nvSpPr>
        <xdr:cNvPr id="27" name="TextBox 26">
          <a:extLst>
            <a:ext uri="{FF2B5EF4-FFF2-40B4-BE49-F238E27FC236}">
              <a16:creationId xmlns:a16="http://schemas.microsoft.com/office/drawing/2014/main" id="{93A56E30-8046-B7A4-0DD2-9CB9482D44DC}"/>
            </a:ext>
          </a:extLst>
        </xdr:cNvPr>
        <xdr:cNvSpPr txBox="1"/>
      </xdr:nvSpPr>
      <xdr:spPr>
        <a:xfrm>
          <a:off x="569258" y="112058"/>
          <a:ext cx="2689411" cy="273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a:t>
          </a:r>
          <a:r>
            <a:rPr lang="en-IN" sz="1100" baseline="0"/>
            <a:t> Emenrgency Room Dashboard</a:t>
          </a:r>
          <a:endParaRPr lang="en-IN" sz="1100"/>
        </a:p>
      </xdr:txBody>
    </xdr:sp>
    <xdr:clientData/>
  </xdr:twoCellAnchor>
  <xdr:twoCellAnchor editAs="oneCell">
    <xdr:from>
      <xdr:col>0</xdr:col>
      <xdr:colOff>138953</xdr:colOff>
      <xdr:row>0</xdr:row>
      <xdr:rowOff>152400</xdr:rowOff>
    </xdr:from>
    <xdr:to>
      <xdr:col>0</xdr:col>
      <xdr:colOff>546847</xdr:colOff>
      <xdr:row>2</xdr:row>
      <xdr:rowOff>53788</xdr:rowOff>
    </xdr:to>
    <xdr:pic>
      <xdr:nvPicPr>
        <xdr:cNvPr id="29" name="Picture 28">
          <a:extLst>
            <a:ext uri="{FF2B5EF4-FFF2-40B4-BE49-F238E27FC236}">
              <a16:creationId xmlns:a16="http://schemas.microsoft.com/office/drawing/2014/main" id="{6EB575BF-95DE-FF9C-856B-6F1999D7BA6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311" t="13570" r="17931" b="12413"/>
        <a:stretch/>
      </xdr:blipFill>
      <xdr:spPr>
        <a:xfrm>
          <a:off x="138953" y="152400"/>
          <a:ext cx="407894" cy="268941"/>
        </a:xfrm>
        <a:prstGeom prst="rect">
          <a:avLst/>
        </a:prstGeom>
      </xdr:spPr>
    </xdr:pic>
    <xdr:clientData/>
  </xdr:twoCellAnchor>
  <xdr:twoCellAnchor editAs="absolute">
    <xdr:from>
      <xdr:col>2</xdr:col>
      <xdr:colOff>89647</xdr:colOff>
      <xdr:row>1</xdr:row>
      <xdr:rowOff>134470</xdr:rowOff>
    </xdr:from>
    <xdr:to>
      <xdr:col>3</xdr:col>
      <xdr:colOff>327213</xdr:colOff>
      <xdr:row>2</xdr:row>
      <xdr:rowOff>121024</xdr:rowOff>
    </xdr:to>
    <xdr:sp macro="" textlink="">
      <xdr:nvSpPr>
        <xdr:cNvPr id="30" name="TextBox 29">
          <a:extLst>
            <a:ext uri="{FF2B5EF4-FFF2-40B4-BE49-F238E27FC236}">
              <a16:creationId xmlns:a16="http://schemas.microsoft.com/office/drawing/2014/main" id="{1F2AC012-DCCE-F840-170A-70A79A280698}"/>
            </a:ext>
          </a:extLst>
        </xdr:cNvPr>
        <xdr:cNvSpPr txBox="1"/>
      </xdr:nvSpPr>
      <xdr:spPr>
        <a:xfrm>
          <a:off x="1308847" y="318246"/>
          <a:ext cx="847166"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Monthly Report</a:t>
          </a:r>
        </a:p>
      </xdr:txBody>
    </xdr:sp>
    <xdr:clientData/>
  </xdr:twoCellAnchor>
  <xdr:twoCellAnchor editAs="absolute">
    <xdr:from>
      <xdr:col>1</xdr:col>
      <xdr:colOff>367554</xdr:colOff>
      <xdr:row>4</xdr:row>
      <xdr:rowOff>112060</xdr:rowOff>
    </xdr:from>
    <xdr:to>
      <xdr:col>2</xdr:col>
      <xdr:colOff>605120</xdr:colOff>
      <xdr:row>5</xdr:row>
      <xdr:rowOff>98615</xdr:rowOff>
    </xdr:to>
    <xdr:sp macro="" textlink="">
      <xdr:nvSpPr>
        <xdr:cNvPr id="31" name="TextBox 30">
          <a:extLst>
            <a:ext uri="{FF2B5EF4-FFF2-40B4-BE49-F238E27FC236}">
              <a16:creationId xmlns:a16="http://schemas.microsoft.com/office/drawing/2014/main" id="{1EF05645-C5FB-19BB-EC36-DB1ADD896C86}"/>
            </a:ext>
          </a:extLst>
        </xdr:cNvPr>
        <xdr:cNvSpPr txBox="1"/>
      </xdr:nvSpPr>
      <xdr:spPr>
        <a:xfrm>
          <a:off x="977154" y="847166"/>
          <a:ext cx="847166"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 of Patients</a:t>
          </a:r>
        </a:p>
      </xdr:txBody>
    </xdr:sp>
    <xdr:clientData/>
  </xdr:twoCellAnchor>
  <xdr:twoCellAnchor editAs="absolute">
    <xdr:from>
      <xdr:col>1</xdr:col>
      <xdr:colOff>358590</xdr:colOff>
      <xdr:row>3</xdr:row>
      <xdr:rowOff>125510</xdr:rowOff>
    </xdr:from>
    <xdr:to>
      <xdr:col>2</xdr:col>
      <xdr:colOff>596156</xdr:colOff>
      <xdr:row>4</xdr:row>
      <xdr:rowOff>112064</xdr:rowOff>
    </xdr:to>
    <xdr:sp macro="" textlink="'Pivot report'!A5">
      <xdr:nvSpPr>
        <xdr:cNvPr id="36" name="TextBox 35">
          <a:extLst>
            <a:ext uri="{FF2B5EF4-FFF2-40B4-BE49-F238E27FC236}">
              <a16:creationId xmlns:a16="http://schemas.microsoft.com/office/drawing/2014/main" id="{3129854F-8F20-7F47-FC74-34C285F0C5D5}"/>
            </a:ext>
          </a:extLst>
        </xdr:cNvPr>
        <xdr:cNvSpPr txBox="1"/>
      </xdr:nvSpPr>
      <xdr:spPr>
        <a:xfrm>
          <a:off x="968190" y="676839"/>
          <a:ext cx="847166"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4DDEAC2-6E43-47B8-8FCF-AE78A0BFEDA7}" type="TxLink">
            <a:rPr lang="en-US" sz="1000" b="0" i="0" u="none" strike="noStrike">
              <a:solidFill>
                <a:srgbClr val="000000"/>
              </a:solidFill>
              <a:latin typeface="Aptos Narrow"/>
            </a:rPr>
            <a:pPr algn="ctr"/>
            <a:t>480</a:t>
          </a:fld>
          <a:endParaRPr lang="en-IN" sz="700"/>
        </a:p>
      </xdr:txBody>
    </xdr:sp>
    <xdr:clientData/>
  </xdr:twoCellAnchor>
  <xdr:twoCellAnchor editAs="absolute">
    <xdr:from>
      <xdr:col>3</xdr:col>
      <xdr:colOff>363074</xdr:colOff>
      <xdr:row>4</xdr:row>
      <xdr:rowOff>112067</xdr:rowOff>
    </xdr:from>
    <xdr:to>
      <xdr:col>4</xdr:col>
      <xdr:colOff>600640</xdr:colOff>
      <xdr:row>5</xdr:row>
      <xdr:rowOff>98622</xdr:rowOff>
    </xdr:to>
    <xdr:sp macro="" textlink="">
      <xdr:nvSpPr>
        <xdr:cNvPr id="37" name="TextBox 36">
          <a:extLst>
            <a:ext uri="{FF2B5EF4-FFF2-40B4-BE49-F238E27FC236}">
              <a16:creationId xmlns:a16="http://schemas.microsoft.com/office/drawing/2014/main" id="{36947735-FDCF-A447-5579-B5051F81DC44}"/>
            </a:ext>
          </a:extLst>
        </xdr:cNvPr>
        <xdr:cNvSpPr txBox="1"/>
      </xdr:nvSpPr>
      <xdr:spPr>
        <a:xfrm>
          <a:off x="2191874" y="847173"/>
          <a:ext cx="847166"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Avg</a:t>
          </a:r>
          <a:r>
            <a:rPr lang="en-IN" sz="800" baseline="0"/>
            <a:t> Wait Time</a:t>
          </a:r>
        </a:p>
      </xdr:txBody>
    </xdr:sp>
    <xdr:clientData/>
  </xdr:twoCellAnchor>
  <xdr:twoCellAnchor editAs="absolute">
    <xdr:from>
      <xdr:col>3</xdr:col>
      <xdr:colOff>372037</xdr:colOff>
      <xdr:row>3</xdr:row>
      <xdr:rowOff>134476</xdr:rowOff>
    </xdr:from>
    <xdr:to>
      <xdr:col>5</xdr:col>
      <xdr:colOff>3</xdr:colOff>
      <xdr:row>4</xdr:row>
      <xdr:rowOff>121030</xdr:rowOff>
    </xdr:to>
    <xdr:sp macro="" textlink="'Pivot report'!A9">
      <xdr:nvSpPr>
        <xdr:cNvPr id="38" name="TextBox 37">
          <a:extLst>
            <a:ext uri="{FF2B5EF4-FFF2-40B4-BE49-F238E27FC236}">
              <a16:creationId xmlns:a16="http://schemas.microsoft.com/office/drawing/2014/main" id="{C4186A5E-6E86-3FE1-249E-1D5DF12B3613}"/>
            </a:ext>
          </a:extLst>
        </xdr:cNvPr>
        <xdr:cNvSpPr txBox="1"/>
      </xdr:nvSpPr>
      <xdr:spPr>
        <a:xfrm>
          <a:off x="2200837" y="685805"/>
          <a:ext cx="847166"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98A6A47-2997-4FAA-B00D-F59F2E1FA156}" type="TxLink">
            <a:rPr lang="en-US" sz="1000" b="0" i="0" u="none" strike="noStrike">
              <a:solidFill>
                <a:srgbClr val="000000"/>
              </a:solidFill>
              <a:latin typeface="Aptos Narrow"/>
            </a:rPr>
            <a:t>34.43</a:t>
          </a:fld>
          <a:endParaRPr lang="en-IN" sz="700"/>
        </a:p>
      </xdr:txBody>
    </xdr:sp>
    <xdr:clientData/>
  </xdr:twoCellAnchor>
  <xdr:twoCellAnchor editAs="absolute">
    <xdr:from>
      <xdr:col>5</xdr:col>
      <xdr:colOff>376519</xdr:colOff>
      <xdr:row>4</xdr:row>
      <xdr:rowOff>103103</xdr:rowOff>
    </xdr:from>
    <xdr:to>
      <xdr:col>7</xdr:col>
      <xdr:colOff>4485</xdr:colOff>
      <xdr:row>5</xdr:row>
      <xdr:rowOff>89658</xdr:rowOff>
    </xdr:to>
    <xdr:sp macro="" textlink="">
      <xdr:nvSpPr>
        <xdr:cNvPr id="39" name="TextBox 38">
          <a:extLst>
            <a:ext uri="{FF2B5EF4-FFF2-40B4-BE49-F238E27FC236}">
              <a16:creationId xmlns:a16="http://schemas.microsoft.com/office/drawing/2014/main" id="{B5F539CD-CBFC-518A-E8E4-B8EF4216067A}"/>
            </a:ext>
          </a:extLst>
        </xdr:cNvPr>
        <xdr:cNvSpPr txBox="1"/>
      </xdr:nvSpPr>
      <xdr:spPr>
        <a:xfrm>
          <a:off x="3424519" y="838209"/>
          <a:ext cx="847166"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Satisfaction</a:t>
          </a:r>
          <a:r>
            <a:rPr lang="en-IN" sz="800" baseline="0"/>
            <a:t> Score</a:t>
          </a:r>
          <a:endParaRPr lang="en-IN" sz="800"/>
        </a:p>
      </xdr:txBody>
    </xdr:sp>
    <xdr:clientData/>
  </xdr:twoCellAnchor>
  <xdr:twoCellAnchor editAs="absolute">
    <xdr:from>
      <xdr:col>5</xdr:col>
      <xdr:colOff>372038</xdr:colOff>
      <xdr:row>3</xdr:row>
      <xdr:rowOff>147923</xdr:rowOff>
    </xdr:from>
    <xdr:to>
      <xdr:col>7</xdr:col>
      <xdr:colOff>4</xdr:colOff>
      <xdr:row>4</xdr:row>
      <xdr:rowOff>134477</xdr:rowOff>
    </xdr:to>
    <xdr:sp macro="" textlink="'Pivot report'!A12">
      <xdr:nvSpPr>
        <xdr:cNvPr id="40" name="TextBox 39">
          <a:extLst>
            <a:ext uri="{FF2B5EF4-FFF2-40B4-BE49-F238E27FC236}">
              <a16:creationId xmlns:a16="http://schemas.microsoft.com/office/drawing/2014/main" id="{A7B705F3-ED34-5E0F-1FC4-232D1158730B}"/>
            </a:ext>
          </a:extLst>
        </xdr:cNvPr>
        <xdr:cNvSpPr txBox="1"/>
      </xdr:nvSpPr>
      <xdr:spPr>
        <a:xfrm>
          <a:off x="3420038" y="699252"/>
          <a:ext cx="847166"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958C582-8FA5-4B2D-8C98-EF32D3A7FF5E}" type="TxLink">
            <a:rPr lang="en-US" sz="1000" b="0" i="0" u="none" strike="noStrike">
              <a:solidFill>
                <a:srgbClr val="000000"/>
              </a:solidFill>
              <a:latin typeface="Aptos Narrow"/>
            </a:rPr>
            <a:t>5.16</a:t>
          </a:fld>
          <a:endParaRPr lang="en-IN" sz="700"/>
        </a:p>
      </xdr:txBody>
    </xdr:sp>
    <xdr:clientData/>
  </xdr:twoCellAnchor>
  <xdr:twoCellAnchor editAs="oneCell">
    <xdr:from>
      <xdr:col>2</xdr:col>
      <xdr:colOff>506506</xdr:colOff>
      <xdr:row>3</xdr:row>
      <xdr:rowOff>71719</xdr:rowOff>
    </xdr:from>
    <xdr:to>
      <xdr:col>3</xdr:col>
      <xdr:colOff>116541</xdr:colOff>
      <xdr:row>4</xdr:row>
      <xdr:rowOff>107577</xdr:rowOff>
    </xdr:to>
    <xdr:pic>
      <xdr:nvPicPr>
        <xdr:cNvPr id="42" name="Graphic 41" descr="Male profile with solid fill">
          <a:extLst>
            <a:ext uri="{FF2B5EF4-FFF2-40B4-BE49-F238E27FC236}">
              <a16:creationId xmlns:a16="http://schemas.microsoft.com/office/drawing/2014/main" id="{341F53F6-2768-D6CF-47E5-196649C0568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25706" y="623048"/>
          <a:ext cx="219635" cy="219635"/>
        </a:xfrm>
        <a:prstGeom prst="rect">
          <a:avLst/>
        </a:prstGeom>
      </xdr:spPr>
    </xdr:pic>
    <xdr:clientData/>
  </xdr:twoCellAnchor>
  <xdr:twoCellAnchor editAs="oneCell">
    <xdr:from>
      <xdr:col>6</xdr:col>
      <xdr:colOff>551330</xdr:colOff>
      <xdr:row>3</xdr:row>
      <xdr:rowOff>62753</xdr:rowOff>
    </xdr:from>
    <xdr:to>
      <xdr:col>7</xdr:col>
      <xdr:colOff>116542</xdr:colOff>
      <xdr:row>4</xdr:row>
      <xdr:rowOff>53788</xdr:rowOff>
    </xdr:to>
    <xdr:pic>
      <xdr:nvPicPr>
        <xdr:cNvPr id="44" name="Graphic 43" descr="Star with solid fill">
          <a:extLst>
            <a:ext uri="{FF2B5EF4-FFF2-40B4-BE49-F238E27FC236}">
              <a16:creationId xmlns:a16="http://schemas.microsoft.com/office/drawing/2014/main" id="{44598D41-47D2-F58E-7D0C-5D870C39DB7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08930" y="614082"/>
          <a:ext cx="174812" cy="174812"/>
        </a:xfrm>
        <a:prstGeom prst="rect">
          <a:avLst/>
        </a:prstGeom>
      </xdr:spPr>
    </xdr:pic>
    <xdr:clientData/>
  </xdr:twoCellAnchor>
  <xdr:twoCellAnchor editAs="oneCell">
    <xdr:from>
      <xdr:col>4</xdr:col>
      <xdr:colOff>530999</xdr:colOff>
      <xdr:row>3</xdr:row>
      <xdr:rowOff>100694</xdr:rowOff>
    </xdr:from>
    <xdr:to>
      <xdr:col>5</xdr:col>
      <xdr:colOff>76199</xdr:colOff>
      <xdr:row>4</xdr:row>
      <xdr:rowOff>71717</xdr:rowOff>
    </xdr:to>
    <xdr:pic>
      <xdr:nvPicPr>
        <xdr:cNvPr id="46" name="Graphic 45" descr="Hourglass Finished with solid fill">
          <a:extLst>
            <a:ext uri="{FF2B5EF4-FFF2-40B4-BE49-F238E27FC236}">
              <a16:creationId xmlns:a16="http://schemas.microsoft.com/office/drawing/2014/main" id="{9F6FF16A-72C8-68FE-0528-3B724A40180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69399" y="652023"/>
          <a:ext cx="154800" cy="154800"/>
        </a:xfrm>
        <a:prstGeom prst="rect">
          <a:avLst/>
        </a:prstGeom>
      </xdr:spPr>
    </xdr:pic>
    <xdr:clientData/>
  </xdr:twoCellAnchor>
  <xdr:twoCellAnchor editAs="oneCell">
    <xdr:from>
      <xdr:col>0</xdr:col>
      <xdr:colOff>76201</xdr:colOff>
      <xdr:row>3</xdr:row>
      <xdr:rowOff>76201</xdr:rowOff>
    </xdr:from>
    <xdr:to>
      <xdr:col>1</xdr:col>
      <xdr:colOff>161364</xdr:colOff>
      <xdr:row>14</xdr:row>
      <xdr:rowOff>26895</xdr:rowOff>
    </xdr:to>
    <mc:AlternateContent xmlns:mc="http://schemas.openxmlformats.org/markup-compatibility/2006">
      <mc:Choice xmlns:a14="http://schemas.microsoft.com/office/drawing/2010/main" Requires="a14">
        <xdr:graphicFrame macro="">
          <xdr:nvGraphicFramePr>
            <xdr:cNvPr id="47" name="Date (Month)">
              <a:extLst>
                <a:ext uri="{FF2B5EF4-FFF2-40B4-BE49-F238E27FC236}">
                  <a16:creationId xmlns:a16="http://schemas.microsoft.com/office/drawing/2014/main" id="{1AD66E33-4FE3-45EF-B9E2-D8D26E2BA85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76201" y="624841"/>
              <a:ext cx="694763" cy="1962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121024</xdr:colOff>
      <xdr:row>4</xdr:row>
      <xdr:rowOff>49305</xdr:rowOff>
    </xdr:from>
    <xdr:to>
      <xdr:col>3</xdr:col>
      <xdr:colOff>273423</xdr:colOff>
      <xdr:row>7</xdr:row>
      <xdr:rowOff>80683</xdr:rowOff>
    </xdr:to>
    <xdr:graphicFrame macro="">
      <xdr:nvGraphicFramePr>
        <xdr:cNvPr id="48" name="Chart 47">
          <a:hlinkClick xmlns:r="http://schemas.openxmlformats.org/officeDocument/2006/relationships" r:id="rId8"/>
          <a:extLst>
            <a:ext uri="{FF2B5EF4-FFF2-40B4-BE49-F238E27FC236}">
              <a16:creationId xmlns:a16="http://schemas.microsoft.com/office/drawing/2014/main" id="{63F0E129-3E97-4422-9260-4015572B5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268941</xdr:colOff>
      <xdr:row>5</xdr:row>
      <xdr:rowOff>40342</xdr:rowOff>
    </xdr:from>
    <xdr:to>
      <xdr:col>5</xdr:col>
      <xdr:colOff>197224</xdr:colOff>
      <xdr:row>7</xdr:row>
      <xdr:rowOff>13448</xdr:rowOff>
    </xdr:to>
    <xdr:graphicFrame macro="">
      <xdr:nvGraphicFramePr>
        <xdr:cNvPr id="50" name="Chart 49">
          <a:hlinkClick xmlns:r="http://schemas.openxmlformats.org/officeDocument/2006/relationships" r:id="rId10"/>
          <a:extLst>
            <a:ext uri="{FF2B5EF4-FFF2-40B4-BE49-F238E27FC236}">
              <a16:creationId xmlns:a16="http://schemas.microsoft.com/office/drawing/2014/main" id="{02083D67-140F-42BE-96C0-D886983DE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237565</xdr:colOff>
      <xdr:row>4</xdr:row>
      <xdr:rowOff>107576</xdr:rowOff>
    </xdr:from>
    <xdr:to>
      <xdr:col>7</xdr:col>
      <xdr:colOff>129988</xdr:colOff>
      <xdr:row>6</xdr:row>
      <xdr:rowOff>125508</xdr:rowOff>
    </xdr:to>
    <xdr:graphicFrame macro="">
      <xdr:nvGraphicFramePr>
        <xdr:cNvPr id="51" name="Chart 50">
          <a:hlinkClick xmlns:r="http://schemas.openxmlformats.org/officeDocument/2006/relationships" r:id="rId12"/>
          <a:extLst>
            <a:ext uri="{FF2B5EF4-FFF2-40B4-BE49-F238E27FC236}">
              <a16:creationId xmlns:a16="http://schemas.microsoft.com/office/drawing/2014/main" id="{052A94F4-66A8-4E88-86EB-2D4A263D9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259976</xdr:colOff>
          <xdr:row>7</xdr:row>
          <xdr:rowOff>17481</xdr:rowOff>
        </xdr:from>
        <xdr:to>
          <xdr:col>7</xdr:col>
          <xdr:colOff>125506</xdr:colOff>
          <xdr:row>9</xdr:row>
          <xdr:rowOff>101128</xdr:rowOff>
        </xdr:to>
        <xdr:pic>
          <xdr:nvPicPr>
            <xdr:cNvPr id="62" name="Picture 61">
              <a:extLst>
                <a:ext uri="{FF2B5EF4-FFF2-40B4-BE49-F238E27FC236}">
                  <a16:creationId xmlns:a16="http://schemas.microsoft.com/office/drawing/2014/main" id="{AB138971-46DB-7246-0ECA-7DEC1D86384B}"/>
                </a:ext>
              </a:extLst>
            </xdr:cNvPr>
            <xdr:cNvPicPr>
              <a:picLocks noChangeAspect="1" noChangeArrowheads="1"/>
              <a:extLst>
                <a:ext uri="{84589F7E-364E-4C9E-8A38-B11213B215E9}">
                  <a14:cameraTool cellRange="'Pivot report'!$A$24:$D$26" spid="_x0000_s2059"/>
                </a:ext>
              </a:extLst>
            </xdr:cNvPicPr>
          </xdr:nvPicPr>
          <xdr:blipFill>
            <a:blip xmlns:r="http://schemas.openxmlformats.org/officeDocument/2006/relationships" r:embed="rId14"/>
            <a:srcRect/>
            <a:stretch>
              <a:fillRect/>
            </a:stretch>
          </xdr:blipFill>
          <xdr:spPr bwMode="auto">
            <a:xfrm>
              <a:off x="869576" y="1303916"/>
              <a:ext cx="3523130" cy="4512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mc:Choice>
    <mc:Fallback/>
  </mc:AlternateContent>
  <xdr:twoCellAnchor>
    <xdr:from>
      <xdr:col>1</xdr:col>
      <xdr:colOff>170328</xdr:colOff>
      <xdr:row>9</xdr:row>
      <xdr:rowOff>170329</xdr:rowOff>
    </xdr:from>
    <xdr:to>
      <xdr:col>6</xdr:col>
      <xdr:colOff>609599</xdr:colOff>
      <xdr:row>13</xdr:row>
      <xdr:rowOff>174812</xdr:rowOff>
    </xdr:to>
    <xdr:graphicFrame macro="">
      <xdr:nvGraphicFramePr>
        <xdr:cNvPr id="63" name="Chart 62">
          <a:extLst>
            <a:ext uri="{FF2B5EF4-FFF2-40B4-BE49-F238E27FC236}">
              <a16:creationId xmlns:a16="http://schemas.microsoft.com/office/drawing/2014/main" id="{A88ED1F2-1FDC-4A9E-BCFC-AAAD00E33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215156</xdr:colOff>
      <xdr:row>13</xdr:row>
      <xdr:rowOff>85173</xdr:rowOff>
    </xdr:from>
    <xdr:to>
      <xdr:col>5</xdr:col>
      <xdr:colOff>49306</xdr:colOff>
      <xdr:row>14</xdr:row>
      <xdr:rowOff>71727</xdr:rowOff>
    </xdr:to>
    <xdr:sp macro="" textlink="">
      <xdr:nvSpPr>
        <xdr:cNvPr id="64" name="TextBox 63">
          <a:extLst>
            <a:ext uri="{FF2B5EF4-FFF2-40B4-BE49-F238E27FC236}">
              <a16:creationId xmlns:a16="http://schemas.microsoft.com/office/drawing/2014/main" id="{414CD11E-36E9-4C0A-8941-BB2DB6DF57E6}"/>
            </a:ext>
          </a:extLst>
        </xdr:cNvPr>
        <xdr:cNvSpPr txBox="1"/>
      </xdr:nvSpPr>
      <xdr:spPr>
        <a:xfrm>
          <a:off x="2043956" y="2474267"/>
          <a:ext cx="1053350"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 of</a:t>
          </a:r>
          <a:r>
            <a:rPr lang="en-IN" sz="800" baseline="0"/>
            <a:t> patients by group</a:t>
          </a:r>
        </a:p>
      </xdr:txBody>
    </xdr:sp>
    <xdr:clientData/>
  </xdr:twoCellAnchor>
  <xdr:twoCellAnchor>
    <xdr:from>
      <xdr:col>7</xdr:col>
      <xdr:colOff>215151</xdr:colOff>
      <xdr:row>0</xdr:row>
      <xdr:rowOff>31373</xdr:rowOff>
    </xdr:from>
    <xdr:to>
      <xdr:col>9</xdr:col>
      <xdr:colOff>448235</xdr:colOff>
      <xdr:row>6</xdr:row>
      <xdr:rowOff>183775</xdr:rowOff>
    </xdr:to>
    <xdr:graphicFrame macro="">
      <xdr:nvGraphicFramePr>
        <xdr:cNvPr id="65" name="Chart 64">
          <a:extLst>
            <a:ext uri="{FF2B5EF4-FFF2-40B4-BE49-F238E27FC236}">
              <a16:creationId xmlns:a16="http://schemas.microsoft.com/office/drawing/2014/main" id="{2826919A-EA8F-4F48-8EDD-1E7E17FED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493062</xdr:colOff>
      <xdr:row>6</xdr:row>
      <xdr:rowOff>8</xdr:rowOff>
    </xdr:from>
    <xdr:to>
      <xdr:col>9</xdr:col>
      <xdr:colOff>327212</xdr:colOff>
      <xdr:row>6</xdr:row>
      <xdr:rowOff>170339</xdr:rowOff>
    </xdr:to>
    <xdr:sp macro="" textlink="">
      <xdr:nvSpPr>
        <xdr:cNvPr id="66" name="TextBox 65">
          <a:extLst>
            <a:ext uri="{FF2B5EF4-FFF2-40B4-BE49-F238E27FC236}">
              <a16:creationId xmlns:a16="http://schemas.microsoft.com/office/drawing/2014/main" id="{81E19150-120A-4B82-A5FA-9B4CD044A4AA}"/>
            </a:ext>
          </a:extLst>
        </xdr:cNvPr>
        <xdr:cNvSpPr txBox="1"/>
      </xdr:nvSpPr>
      <xdr:spPr>
        <a:xfrm>
          <a:off x="4760262" y="1102667"/>
          <a:ext cx="1053350"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Attend Status</a:t>
          </a:r>
          <a:endParaRPr lang="en-IN" sz="800" baseline="0"/>
        </a:p>
      </xdr:txBody>
    </xdr:sp>
    <xdr:clientData/>
  </xdr:twoCellAnchor>
  <xdr:twoCellAnchor>
    <xdr:from>
      <xdr:col>9</xdr:col>
      <xdr:colOff>398930</xdr:colOff>
      <xdr:row>0</xdr:row>
      <xdr:rowOff>1</xdr:rowOff>
    </xdr:from>
    <xdr:to>
      <xdr:col>12</xdr:col>
      <xdr:colOff>44823</xdr:colOff>
      <xdr:row>5</xdr:row>
      <xdr:rowOff>179295</xdr:rowOff>
    </xdr:to>
    <xdr:graphicFrame macro="">
      <xdr:nvGraphicFramePr>
        <xdr:cNvPr id="67" name="Chart 66">
          <a:extLst>
            <a:ext uri="{FF2B5EF4-FFF2-40B4-BE49-F238E27FC236}">
              <a16:creationId xmlns:a16="http://schemas.microsoft.com/office/drawing/2014/main" id="{DE7E7BAD-3E59-4B76-A70E-F7045BD2F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125509</xdr:colOff>
      <xdr:row>5</xdr:row>
      <xdr:rowOff>170337</xdr:rowOff>
    </xdr:from>
    <xdr:to>
      <xdr:col>11</xdr:col>
      <xdr:colOff>569259</xdr:colOff>
      <xdr:row>6</xdr:row>
      <xdr:rowOff>156891</xdr:rowOff>
    </xdr:to>
    <xdr:sp macro="" textlink="">
      <xdr:nvSpPr>
        <xdr:cNvPr id="68" name="TextBox 67">
          <a:extLst>
            <a:ext uri="{FF2B5EF4-FFF2-40B4-BE49-F238E27FC236}">
              <a16:creationId xmlns:a16="http://schemas.microsoft.com/office/drawing/2014/main" id="{EE8411C9-3874-42CC-9879-EDD51366F7CB}"/>
            </a:ext>
          </a:extLst>
        </xdr:cNvPr>
        <xdr:cNvSpPr txBox="1"/>
      </xdr:nvSpPr>
      <xdr:spPr>
        <a:xfrm>
          <a:off x="6221509" y="1089219"/>
          <a:ext cx="1053350"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Gender wise Analysys</a:t>
          </a:r>
          <a:endParaRPr lang="en-IN" sz="800" baseline="0"/>
        </a:p>
      </xdr:txBody>
    </xdr:sp>
    <xdr:clientData/>
  </xdr:twoCellAnchor>
  <xdr:twoCellAnchor>
    <xdr:from>
      <xdr:col>7</xdr:col>
      <xdr:colOff>470648</xdr:colOff>
      <xdr:row>6</xdr:row>
      <xdr:rowOff>125505</xdr:rowOff>
    </xdr:from>
    <xdr:to>
      <xdr:col>11</xdr:col>
      <xdr:colOff>381001</xdr:colOff>
      <xdr:row>13</xdr:row>
      <xdr:rowOff>116541</xdr:rowOff>
    </xdr:to>
    <xdr:graphicFrame macro="">
      <xdr:nvGraphicFramePr>
        <xdr:cNvPr id="69" name="Chart 68">
          <a:extLst>
            <a:ext uri="{FF2B5EF4-FFF2-40B4-BE49-F238E27FC236}">
              <a16:creationId xmlns:a16="http://schemas.microsoft.com/office/drawing/2014/main" id="{FFBCF87F-3DA4-4A1A-8DA5-8B139EAC1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327215</xdr:colOff>
      <xdr:row>13</xdr:row>
      <xdr:rowOff>98620</xdr:rowOff>
    </xdr:from>
    <xdr:to>
      <xdr:col>10</xdr:col>
      <xdr:colOff>528917</xdr:colOff>
      <xdr:row>14</xdr:row>
      <xdr:rowOff>85174</xdr:rowOff>
    </xdr:to>
    <xdr:sp macro="" textlink="">
      <xdr:nvSpPr>
        <xdr:cNvPr id="70" name="TextBox 69">
          <a:extLst>
            <a:ext uri="{FF2B5EF4-FFF2-40B4-BE49-F238E27FC236}">
              <a16:creationId xmlns:a16="http://schemas.microsoft.com/office/drawing/2014/main" id="{98E6EA0F-1F6C-4C6B-BB8C-487D3C413A8C}"/>
            </a:ext>
          </a:extLst>
        </xdr:cNvPr>
        <xdr:cNvSpPr txBox="1"/>
      </xdr:nvSpPr>
      <xdr:spPr>
        <a:xfrm>
          <a:off x="5204015" y="2487714"/>
          <a:ext cx="1420902" cy="17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 of patients by Department Referal</a:t>
          </a:r>
          <a:endParaRPr lang="en-IN" sz="800" baseline="0"/>
        </a:p>
      </xdr:txBody>
    </xdr:sp>
    <xdr:clientData/>
  </xdr:twoCellAnchor>
  <xdr:twoCellAnchor editAs="oneCell">
    <xdr:from>
      <xdr:col>5</xdr:col>
      <xdr:colOff>416862</xdr:colOff>
      <xdr:row>0</xdr:row>
      <xdr:rowOff>67235</xdr:rowOff>
    </xdr:from>
    <xdr:to>
      <xdr:col>7</xdr:col>
      <xdr:colOff>129987</xdr:colOff>
      <xdr:row>2</xdr:row>
      <xdr:rowOff>129988</xdr:rowOff>
    </xdr:to>
    <mc:AlternateContent xmlns:mc="http://schemas.openxmlformats.org/markup-compatibility/2006">
      <mc:Choice xmlns:a14="http://schemas.microsoft.com/office/drawing/2010/main" Requires="a14">
        <xdr:graphicFrame macro="">
          <xdr:nvGraphicFramePr>
            <xdr:cNvPr id="71" name="Date (Year)">
              <a:extLst>
                <a:ext uri="{FF2B5EF4-FFF2-40B4-BE49-F238E27FC236}">
                  <a16:creationId xmlns:a16="http://schemas.microsoft.com/office/drawing/2014/main" id="{23683B01-6B5E-4B4B-A19A-0E16CD0B7D5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464862" y="67235"/>
              <a:ext cx="932325" cy="428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1</xdr:row>
      <xdr:rowOff>83820</xdr:rowOff>
    </xdr:from>
    <xdr:to>
      <xdr:col>18</xdr:col>
      <xdr:colOff>266700</xdr:colOff>
      <xdr:row>15</xdr:row>
      <xdr:rowOff>144780</xdr:rowOff>
    </xdr:to>
    <xdr:graphicFrame macro="">
      <xdr:nvGraphicFramePr>
        <xdr:cNvPr id="2" name="Chart 1">
          <a:extLst>
            <a:ext uri="{FF2B5EF4-FFF2-40B4-BE49-F238E27FC236}">
              <a16:creationId xmlns:a16="http://schemas.microsoft.com/office/drawing/2014/main" id="{E63DABBB-4877-43F9-AB41-EEF2F60E3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0.00889</cdr:x>
      <cdr:y>0</cdr:y>
    </cdr:from>
    <cdr:to>
      <cdr:x>0.04632</cdr:x>
      <cdr:y>0.15504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E2A64CC-8BF0-7259-7AE1-EDB90432B64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6520" y="0"/>
          <a:ext cx="406400" cy="406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76200</xdr:colOff>
      <xdr:row>0</xdr:row>
      <xdr:rowOff>30480</xdr:rowOff>
    </xdr:from>
    <xdr:to>
      <xdr:col>13</xdr:col>
      <xdr:colOff>563880</xdr:colOff>
      <xdr:row>20</xdr:row>
      <xdr:rowOff>175260</xdr:rowOff>
    </xdr:to>
    <xdr:graphicFrame macro="">
      <xdr:nvGraphicFramePr>
        <xdr:cNvPr id="2" name="Chart 1">
          <a:extLst>
            <a:ext uri="{FF2B5EF4-FFF2-40B4-BE49-F238E27FC236}">
              <a16:creationId xmlns:a16="http://schemas.microsoft.com/office/drawing/2014/main" id="{F9690AEB-101F-4FB9-AEFB-960CEBF04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0.01256</cdr:x>
      <cdr:y>0.00837</cdr:y>
    </cdr:from>
    <cdr:to>
      <cdr:x>0.06785</cdr:x>
      <cdr:y>0.12815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015C006-120D-3F90-E045-0318FADFC97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5383" y="32426"/>
          <a:ext cx="464009" cy="464009"/>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472440</xdr:colOff>
      <xdr:row>1</xdr:row>
      <xdr:rowOff>68580</xdr:rowOff>
    </xdr:from>
    <xdr:to>
      <xdr:col>15</xdr:col>
      <xdr:colOff>266700</xdr:colOff>
      <xdr:row>16</xdr:row>
      <xdr:rowOff>68580</xdr:rowOff>
    </xdr:to>
    <xdr:graphicFrame macro="">
      <xdr:nvGraphicFramePr>
        <xdr:cNvPr id="3" name="Chart 2">
          <a:extLst>
            <a:ext uri="{FF2B5EF4-FFF2-40B4-BE49-F238E27FC236}">
              <a16:creationId xmlns:a16="http://schemas.microsoft.com/office/drawing/2014/main" id="{5B51F011-DE99-4722-A1A0-386D8B35F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0.00669</cdr:x>
      <cdr:y>0.01852</cdr:y>
    </cdr:from>
    <cdr:to>
      <cdr:x>0.06783</cdr:x>
      <cdr:y>0.18767</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93CE80E-0CA5-E4B8-F409-F71D17327D4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64009" cy="464009"/>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26736113" createdVersion="5" refreshedVersion="8" minRefreshableVersion="3" recordCount="0" supportSubquery="1" supportAdvancedDrill="1" xr:uid="{FDFE437E-0F34-4463-A9C8-717894D933E0}">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27083337" createdVersion="5" refreshedVersion="8" minRefreshableVersion="3" recordCount="0" supportSubquery="1" supportAdvancedDrill="1" xr:uid="{B898CE86-2E44-494C-8C72-83F511278F57}">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27314814" createdVersion="5" refreshedVersion="8" minRefreshableVersion="3" recordCount="0" supportSubquery="1" supportAdvancedDrill="1" xr:uid="{F9055DEA-4B17-44D0-84BA-9C4FB2EB0D69}">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27546299" createdVersion="5" refreshedVersion="8" minRefreshableVersion="3" recordCount="0" supportSubquery="1" supportAdvancedDrill="1" xr:uid="{456C3991-CFA9-4525-8B3D-281A6547D644}">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28240738" createdVersion="5" refreshedVersion="8" minRefreshableVersion="3" recordCount="0" supportSubquery="1" supportAdvancedDrill="1" xr:uid="{F728A30D-7E68-4272-A2BB-92B817F664D6}">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28587961" createdVersion="5" refreshedVersion="8" minRefreshableVersion="3" recordCount="0" supportSubquery="1" supportAdvancedDrill="1" xr:uid="{59211B6A-F5E6-48FB-86CD-9A98A7D2441A}">
  <cacheSource type="external" connectionId="3"/>
  <cacheFields count="4">
    <cacheField name="[Calende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29166669" createdVersion="5" refreshedVersion="8" minRefreshableVersion="3" recordCount="0" supportSubquery="1" supportAdvancedDrill="1" xr:uid="{894BF33A-569E-41C2-94C1-663951CFB25D}">
  <cacheSource type="external" connectionId="3"/>
  <cacheFields count="5">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29745369" createdVersion="5" refreshedVersion="8" minRefreshableVersion="3" recordCount="0" supportSubquery="1" supportAdvancedDrill="1" xr:uid="{991DB442-D2DB-49FD-8B49-8D3222BA2DDD}">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30324077" createdVersion="5" refreshedVersion="8" minRefreshableVersion="3" recordCount="0" supportSubquery="1" supportAdvancedDrill="1" xr:uid="{51110686-418D-4216-87D2-0D75D527088F}">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29"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30902778" createdVersion="5" refreshedVersion="8" minRefreshableVersion="3" recordCount="0" supportSubquery="1" supportAdvancedDrill="1" xr:uid="{5F3639A8-1C9D-4824-81B7-8952FF85C876}">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31481478" createdVersion="5" refreshedVersion="8" minRefreshableVersion="3" recordCount="0" supportSubquery="1" supportAdvancedDrill="1" xr:uid="{D6194741-A60A-40B2-A557-50006A04358A}">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73232060186" createdVersion="5" refreshedVersion="8" minRefreshableVersion="3" recordCount="0" supportSubquery="1" supportAdvancedDrill="1" xr:uid="{E45EEFE3-7152-4501-B1E4-697527A04C07}">
  <cacheSource type="external" connectionId="3"/>
  <cacheFields count="4">
    <cacheField name="[Calender_Table].[Date (Month)].[Date (Month)]" caption="Date (Month)" numFmtId="0" hierarchy="1" level="1">
      <sharedItems count="1">
        <s v="Oct"/>
      </sharedItems>
    </cacheField>
    <cacheField name="[Calender_Table].[Date].[Date]" caption="Date" numFmtId="0" level="1">
      <sharedItems containsSemiMixedTypes="0" containsNonDate="0" containsDate="1" containsString="0" minDate="2023-10-01T00:00:00" maxDate="2024-11-01T00:00:00" count="62">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3"/>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kumar" refreshedDate="46125.763676388888" createdVersion="3" refreshedVersion="8" minRefreshableVersion="3" recordCount="0" supportSubquery="1" supportAdvancedDrill="1" xr:uid="{4A3E81B9-EE82-44E7-A278-E83966038E5F}">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421074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C9A353-DA74-4A6F-8EDB-8BFD38F49235}" name="PivotTable21" cacheId="1870" applyNumberFormats="0" applyBorderFormats="0" applyFontFormats="0" applyPatternFormats="0" applyAlignmentFormats="0" applyWidthHeightFormats="1" dataCaption="Values" tag="5da1461c-b9df-47d3-80e9-75e624a7d635" updatedVersion="8" minRefreshableVersion="3" subtotalHiddenItems="1" itemPrintTitles="1" createdVersion="5" indent="0" outline="1" outlineData="1" multipleFieldFilters="0" chartFormat="20">
  <location ref="A68:A7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2">
      <pivotArea outline="0" collapsedLevelsAreSubtotals="1" fieldPosition="0"/>
    </format>
  </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725F10-0A07-4C19-BCE5-3670E026BF96}" name="PivotTable20" cacheId="1867" applyNumberFormats="0" applyBorderFormats="0" applyFontFormats="0" applyPatternFormats="0" applyAlignmentFormats="0" applyWidthHeightFormats="1" dataCaption="Values" tag="2b0a3cf8-508f-4ba8-9e49-bd6a131942b2" updatedVersion="8" minRefreshableVersion="3" subtotalHiddenItems="1" itemPrintTitles="1" createdVersion="5" indent="0" outline="1" outlineData="1" multipleFieldFilters="0" chartFormat="20">
  <location ref="A55:B6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numFmtId="1"/>
  </dataFields>
  <formats count="1">
    <format dxfId="23">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E483B7-CDCB-4AED-871E-DDFE8D810086}" name="PivotTable19" cacheId="1864" applyNumberFormats="0" applyBorderFormats="0" applyFontFormats="0" applyPatternFormats="0" applyAlignmentFormats="0" applyWidthHeightFormats="1" dataCaption="Values" tag="8605c36d-261b-4abe-8d6f-44c322703e50" updatedVersion="8" minRefreshableVersion="3" subtotalHiddenItems="1" itemPrintTitles="1" createdVersion="5" indent="0" outline="1" outlineData="1" multipleFieldFilters="0" chartFormat="16">
  <location ref="A49:B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4">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7C46B7-AEAD-4D18-AD2A-F32458639C98}" name="PivotTable18" cacheId="1861" applyNumberFormats="0" applyBorderFormats="0" applyFontFormats="0" applyPatternFormats="0" applyAlignmentFormats="0" applyWidthHeightFormats="1" dataCaption="Values" tag="cea3342e-e90c-4114-a691-7ad701fd20b9" updatedVersion="8" minRefreshableVersion="3" subtotalHiddenItems="1" itemPrintTitles="1" createdVersion="5" indent="0" outline="1" outlineData="1" multipleFieldFilters="0" chartFormat="12">
  <location ref="A42:B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25">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524827-68A6-431F-879B-197D25880609}" name="PivotTable17" cacheId="1858" applyNumberFormats="0" applyBorderFormats="0" applyFontFormats="0" applyPatternFormats="0" applyAlignmentFormats="0" applyWidthHeightFormats="1" dataCaption="Values" tag="034932d8-8300-4686-bb02-b45248232c20" updatedVersion="8" minRefreshableVersion="3" subtotalHiddenItems="1" itemPrintTitles="1" createdVersion="5" indent="0" outline="1" outlineData="1" multipleFieldFilters="0" chartFormat="7">
  <location ref="A30:B3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FA4836-A6CE-428B-833F-5E56D62F34BE}" name="PivotTable16" cacheId="1855" applyNumberFormats="0" applyBorderFormats="0" applyFontFormats="0" applyPatternFormats="0" applyAlignmentFormats="0" applyWidthHeightFormats="1" dataCaption="Values" tag="b8c7a511-e783-451d-a325-dc99142d6e22" updatedVersion="8" minRefreshableVersion="3" subtotalHiddenItems="1" itemPrintTitles="1" createdVersion="5" indent="0" outline="1" outlineData="1" multipleFieldFilters="0" chartFormat="3">
  <location ref="A15:C1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ttend Status" fld="1" subtotal="count" baseField="0" baseItem="0"/>
    <dataField name="Count of Patient Attend Status2" fld="4" subtotal="count" showDataAs="percentOfTotal" baseField="0" baseItem="0" numFmtId="10">
      <extLst>
        <ext xmlns:x14="http://schemas.microsoft.com/office/spreadsheetml/2009/9/main" uri="{E15A36E0-9728-4e99-A89B-3F7291B0FE68}">
          <x14:dataField sourceField="1" uniqueName="[__Xl2].[Measures].[Count of Patient Attend Status]"/>
        </ext>
      </extLst>
    </dataField>
  </dataFields>
  <formats count="2">
    <format dxfId="27">
      <pivotArea outline="0" collapsedLevelsAreSubtotals="1" fieldPosition="0"/>
    </format>
    <format dxfId="28">
      <pivotArea outline="0" fieldPosition="0">
        <references count="1">
          <reference field="4294967294" count="1">
            <x v="1"/>
          </reference>
        </references>
      </pivotArea>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C63DBE-A43F-45F8-B960-6E0183054EEB}" name="PivotTable15" cacheId="1852" applyNumberFormats="0" applyBorderFormats="0" applyFontFormats="0" applyPatternFormats="0" applyAlignmentFormats="0" applyWidthHeightFormats="1" dataCaption="Values" tag="fcc601da-24ba-4daa-be31-0104fba64944" updatedVersion="8" minRefreshableVersion="3" subtotalHiddenItems="1" itemPrintTitles="1" createdVersion="5" indent="0" outline="1" outlineData="1" multipleFieldFilters="0" chartFormat="21">
  <location ref="L3:M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numFmtId="2"/>
  </dataFields>
  <formats count="1">
    <format dxfId="29">
      <pivotArea outline="0" collapsedLevelsAreSubtotals="1" fieldPosition="0"/>
    </format>
  </formats>
  <chartFormats count="2">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167EB2-1955-4B28-8E6A-CC249CF47E03}" name="PivotTable14" cacheId="1849" applyNumberFormats="0" applyBorderFormats="0" applyFontFormats="0" applyPatternFormats="0" applyAlignmentFormats="0" applyWidthHeightFormats="1" dataCaption="Values" tag="3376d00c-7a38-431e-aed1-daabba753415" updatedVersion="8" minRefreshableVersion="3" subtotalHiddenItems="1" itemPrintTitles="1" createdVersion="5" indent="0" outline="1" outlineData="1" multipleFieldFilters="0" chartFormat="16">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30">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EFB871-41C5-4D21-BF6B-CFB2E13790B0}" name="PivotTable4" cacheId="1837" applyNumberFormats="0" applyBorderFormats="0" applyFontFormats="0" applyPatternFormats="0" applyAlignmentFormats="0" applyWidthHeightFormats="1" dataCaption="Values" tag="db6c9a15-699d-41eb-a7f3-e5ba799bf292" updatedVersion="8" minRefreshableVersion="3" subtotalHiddenItems="1" itemPrintTitles="1" createdVersion="5" indent="0" outline="1" outlineData="1" multipleFieldFilters="0" chartFormat="9">
  <location ref="P4:Q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DD33C1-7164-480F-A077-454089353397}" name="PivotTable3" cacheId="1846" applyNumberFormats="0" applyBorderFormats="0" applyFontFormats="0" applyPatternFormats="0" applyAlignmentFormats="0" applyWidthHeightFormats="1" dataCaption="Values" tag="66838511-94c6-4b77-b948-9e05a44d9b27"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1">
      <pivotArea outline="0" collapsedLevelsAreSubtotals="1" fieldPosition="0"/>
    </format>
  </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8DB1D7-4F8E-4455-8CB5-C5E0386F2A4D}" name="PivotTable2" cacheId="1843" applyNumberFormats="0" applyBorderFormats="0" applyFontFormats="0" applyPatternFormats="0" applyAlignmentFormats="0" applyWidthHeightFormats="1" dataCaption="Values" tag="9bb1faed-5987-472e-b2d7-d1973ec890df"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2">
      <pivotArea outline="0" collapsedLevelsAreSubtotals="1" fieldPosition="0"/>
    </format>
  </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A81A0B-1AAF-4213-8ADC-ED81D4E58B37}" name="PivotTable1" cacheId="1840" applyNumberFormats="0" applyBorderFormats="0" applyFontFormats="0" applyPatternFormats="0" applyAlignmentFormats="0" applyWidthHeightFormats="1" dataCaption="Values" tag="90ee5cce-cc5a-4148-82b5-77b7b6e3f4bd"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A8059CE-C9B1-430F-8388-EF1BA339209E}" sourceName="[Calender_Table].[Date (Month)]">
  <pivotTables>
    <pivotTable tabId="1" name="PivotTable4"/>
    <pivotTable tabId="1" name="PivotTable1"/>
    <pivotTable tabId="1" name="PivotTable2"/>
    <pivotTable tabId="1" name="PivotTable3"/>
    <pivotTable tabId="1" name="PivotTable14"/>
    <pivotTable tabId="1" name="PivotTable15"/>
    <pivotTable tabId="1" name="PivotTable16"/>
    <pivotTable tabId="1" name="PivotTable17"/>
    <pivotTable tabId="1" name="PivotTable18"/>
    <pivotTable tabId="1" name="PivotTable19"/>
    <pivotTable tabId="1" name="PivotTable20"/>
    <pivotTable tabId="1" name="PivotTable21"/>
  </pivotTables>
  <data>
    <olap pivotCacheId="542107445">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2E5D68E-62F1-457B-A676-1492B96F7F03}" sourceName="[Calender_Table].[Date (Year)]">
  <pivotTables>
    <pivotTable tabId="1" name="PivotTable21"/>
    <pivotTable tabId="1" name="PivotTable1"/>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3"/>
    <pivotTable tabId="1" name="PivotTable4"/>
  </pivotTables>
  <data>
    <olap pivotCacheId="54210744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562C778-9D95-469D-9B5F-514DB37693EB}" cache="Slicer_Date__Month" caption="Date (Month)" startItem="1" showCaption="0" level="1" style="My style" rowHeight="140400"/>
  <slicer name="Date (Year)" xr10:uid="{C9484049-F4A5-46F6-88C2-CEEA443CCF8F}" cache="Slicer_Date__Year" caption="Date (Year)" columnCount="2"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E2AE-E1B6-433D-B01A-8557BD0AB204}">
  <dimension ref="A2:Q70"/>
  <sheetViews>
    <sheetView showGridLines="0" topLeftCell="A16" zoomScale="115" zoomScaleNormal="115" workbookViewId="0">
      <selection activeCell="O9" sqref="O9"/>
    </sheetView>
  </sheetViews>
  <sheetFormatPr defaultRowHeight="14.4" x14ac:dyDescent="0.3"/>
  <cols>
    <col min="1" max="1" width="32.109375" bestFit="1" customWidth="1"/>
    <col min="2" max="2" width="26.5546875" bestFit="1" customWidth="1"/>
    <col min="3" max="3" width="27.77734375" bestFit="1" customWidth="1"/>
    <col min="4" max="4" width="16.33203125" customWidth="1"/>
    <col min="5" max="5" width="24" bestFit="1" customWidth="1"/>
    <col min="7" max="7" width="11.44140625" bestFit="1" customWidth="1"/>
    <col min="8" max="8" width="24.44140625" bestFit="1" customWidth="1"/>
    <col min="12" max="12" width="25.5546875" bestFit="1" customWidth="1"/>
    <col min="13" max="13" width="32.109375" bestFit="1" customWidth="1"/>
    <col min="16" max="16" width="24.5546875" bestFit="1" customWidth="1"/>
    <col min="17" max="17" width="23.6640625" bestFit="1" customWidth="1"/>
  </cols>
  <sheetData>
    <row r="2" spans="1:17" x14ac:dyDescent="0.3">
      <c r="L2" t="s">
        <v>41</v>
      </c>
    </row>
    <row r="3" spans="1:17" x14ac:dyDescent="0.3">
      <c r="G3" t="s">
        <v>39</v>
      </c>
      <c r="L3" s="1" t="s">
        <v>0</v>
      </c>
      <c r="M3" t="s">
        <v>4</v>
      </c>
      <c r="P3" t="s">
        <v>38</v>
      </c>
    </row>
    <row r="4" spans="1:17" x14ac:dyDescent="0.3">
      <c r="A4" t="s">
        <v>2</v>
      </c>
      <c r="G4" s="1" t="s">
        <v>0</v>
      </c>
      <c r="H4" t="s">
        <v>3</v>
      </c>
      <c r="L4" s="2" t="s">
        <v>6</v>
      </c>
      <c r="M4" s="4">
        <v>5.5</v>
      </c>
      <c r="P4" s="1" t="s">
        <v>0</v>
      </c>
      <c r="Q4" t="s">
        <v>2</v>
      </c>
    </row>
    <row r="5" spans="1:17" x14ac:dyDescent="0.3">
      <c r="A5" s="3">
        <v>480</v>
      </c>
      <c r="G5" s="2" t="s">
        <v>6</v>
      </c>
      <c r="H5" s="4">
        <v>31.5</v>
      </c>
      <c r="L5" s="2" t="s">
        <v>7</v>
      </c>
      <c r="M5" s="4">
        <v>3.3333333333333335</v>
      </c>
      <c r="P5" s="2" t="s">
        <v>6</v>
      </c>
      <c r="Q5" s="3">
        <v>20</v>
      </c>
    </row>
    <row r="6" spans="1:17" x14ac:dyDescent="0.3">
      <c r="G6" s="2" t="s">
        <v>7</v>
      </c>
      <c r="H6" s="4">
        <v>34.25</v>
      </c>
      <c r="L6" s="2" t="s">
        <v>8</v>
      </c>
      <c r="M6" s="4">
        <v>6</v>
      </c>
      <c r="P6" s="2" t="s">
        <v>7</v>
      </c>
      <c r="Q6" s="3">
        <v>16</v>
      </c>
    </row>
    <row r="7" spans="1:17" x14ac:dyDescent="0.3">
      <c r="G7" s="2" t="s">
        <v>8</v>
      </c>
      <c r="H7" s="4">
        <v>41.1</v>
      </c>
      <c r="L7" s="2" t="s">
        <v>9</v>
      </c>
      <c r="M7" s="4">
        <v>4.8</v>
      </c>
      <c r="P7" s="2" t="s">
        <v>8</v>
      </c>
      <c r="Q7" s="3">
        <v>20</v>
      </c>
    </row>
    <row r="8" spans="1:17" x14ac:dyDescent="0.3">
      <c r="A8" t="s">
        <v>3</v>
      </c>
      <c r="G8" s="2" t="s">
        <v>9</v>
      </c>
      <c r="H8" s="4">
        <v>31</v>
      </c>
      <c r="L8" s="2" t="s">
        <v>10</v>
      </c>
      <c r="M8" s="4">
        <v>5.5</v>
      </c>
      <c r="P8" s="2" t="s">
        <v>9</v>
      </c>
      <c r="Q8" s="3">
        <v>16</v>
      </c>
    </row>
    <row r="9" spans="1:17" x14ac:dyDescent="0.3">
      <c r="A9" s="4">
        <v>34.429166666666667</v>
      </c>
      <c r="G9" s="2" t="s">
        <v>10</v>
      </c>
      <c r="H9" s="4">
        <v>33.666666666666664</v>
      </c>
      <c r="L9" s="2" t="s">
        <v>11</v>
      </c>
      <c r="M9" s="4">
        <v>5.25</v>
      </c>
      <c r="P9" s="2" t="s">
        <v>10</v>
      </c>
      <c r="Q9" s="3">
        <v>18</v>
      </c>
    </row>
    <row r="10" spans="1:17" x14ac:dyDescent="0.3">
      <c r="G10" s="2" t="s">
        <v>11</v>
      </c>
      <c r="H10" s="4">
        <v>34.5625</v>
      </c>
      <c r="L10" s="2" t="s">
        <v>12</v>
      </c>
      <c r="M10" s="4">
        <v>4.8</v>
      </c>
      <c r="P10" s="2" t="s">
        <v>11</v>
      </c>
      <c r="Q10" s="3">
        <v>16</v>
      </c>
    </row>
    <row r="11" spans="1:17" x14ac:dyDescent="0.3">
      <c r="A11" t="s">
        <v>4</v>
      </c>
      <c r="G11" s="2" t="s">
        <v>12</v>
      </c>
      <c r="H11" s="4">
        <v>34.93333333333333</v>
      </c>
      <c r="L11" s="2" t="s">
        <v>13</v>
      </c>
      <c r="M11" s="4">
        <v>4.5</v>
      </c>
      <c r="P11" s="2" t="s">
        <v>12</v>
      </c>
      <c r="Q11" s="3">
        <v>15</v>
      </c>
    </row>
    <row r="12" spans="1:17" x14ac:dyDescent="0.3">
      <c r="A12" s="4">
        <v>5.1640625</v>
      </c>
      <c r="G12" s="2" t="s">
        <v>13</v>
      </c>
      <c r="H12" s="4">
        <v>36.4</v>
      </c>
      <c r="L12" s="2" t="s">
        <v>14</v>
      </c>
      <c r="M12" s="4">
        <v>5</v>
      </c>
      <c r="P12" s="2" t="s">
        <v>13</v>
      </c>
      <c r="Q12" s="3">
        <v>20</v>
      </c>
    </row>
    <row r="13" spans="1:17" x14ac:dyDescent="0.3">
      <c r="G13" s="2" t="s">
        <v>14</v>
      </c>
      <c r="H13" s="4">
        <v>35.549999999999997</v>
      </c>
      <c r="L13" s="2" t="s">
        <v>15</v>
      </c>
      <c r="M13" s="4">
        <v>5.333333333333333</v>
      </c>
      <c r="P13" s="2" t="s">
        <v>14</v>
      </c>
      <c r="Q13" s="3">
        <v>20</v>
      </c>
    </row>
    <row r="14" spans="1:17" x14ac:dyDescent="0.3">
      <c r="G14" s="2" t="s">
        <v>15</v>
      </c>
      <c r="H14" s="4">
        <v>30.692307692307693</v>
      </c>
      <c r="L14" s="2" t="s">
        <v>16</v>
      </c>
      <c r="M14" s="4">
        <v>4.4000000000000004</v>
      </c>
      <c r="P14" s="2" t="s">
        <v>15</v>
      </c>
      <c r="Q14" s="3">
        <v>13</v>
      </c>
    </row>
    <row r="15" spans="1:17" x14ac:dyDescent="0.3">
      <c r="A15" s="1" t="s">
        <v>0</v>
      </c>
      <c r="B15" t="s">
        <v>43</v>
      </c>
      <c r="C15" t="s">
        <v>48</v>
      </c>
      <c r="G15" s="2" t="s">
        <v>16</v>
      </c>
      <c r="H15" s="4">
        <v>33.611111111111114</v>
      </c>
      <c r="L15" s="2" t="s">
        <v>17</v>
      </c>
      <c r="M15" s="4">
        <v>3.25</v>
      </c>
      <c r="P15" s="2" t="s">
        <v>16</v>
      </c>
      <c r="Q15" s="3">
        <v>18</v>
      </c>
    </row>
    <row r="16" spans="1:17" x14ac:dyDescent="0.3">
      <c r="A16" s="2" t="s">
        <v>46</v>
      </c>
      <c r="B16" s="4">
        <v>229</v>
      </c>
      <c r="C16" s="11">
        <v>0.47708333333333336</v>
      </c>
      <c r="G16" s="2" t="s">
        <v>17</v>
      </c>
      <c r="H16" s="4">
        <v>37.81818181818182</v>
      </c>
      <c r="L16" s="2" t="s">
        <v>18</v>
      </c>
      <c r="M16" s="4">
        <v>6</v>
      </c>
      <c r="P16" s="2" t="s">
        <v>17</v>
      </c>
      <c r="Q16" s="3">
        <v>11</v>
      </c>
    </row>
    <row r="17" spans="1:17" x14ac:dyDescent="0.3">
      <c r="A17" s="2" t="s">
        <v>47</v>
      </c>
      <c r="B17" s="4">
        <v>251</v>
      </c>
      <c r="C17" s="11">
        <v>0.5229166666666667</v>
      </c>
      <c r="G17" s="2" t="s">
        <v>18</v>
      </c>
      <c r="H17" s="4">
        <v>40</v>
      </c>
      <c r="L17" s="2" t="s">
        <v>19</v>
      </c>
      <c r="M17" s="4">
        <v>3.3333333333333335</v>
      </c>
      <c r="P17" s="2" t="s">
        <v>18</v>
      </c>
      <c r="Q17" s="3">
        <v>13</v>
      </c>
    </row>
    <row r="18" spans="1:17" x14ac:dyDescent="0.3">
      <c r="A18" s="2" t="s">
        <v>1</v>
      </c>
      <c r="B18" s="4">
        <v>480</v>
      </c>
      <c r="C18" s="11">
        <v>1</v>
      </c>
      <c r="G18" s="2" t="s">
        <v>19</v>
      </c>
      <c r="H18" s="4">
        <v>32</v>
      </c>
      <c r="L18" s="2" t="s">
        <v>21</v>
      </c>
      <c r="M18" s="4">
        <v>6.7</v>
      </c>
      <c r="P18" s="2" t="s">
        <v>19</v>
      </c>
      <c r="Q18" s="3">
        <v>14</v>
      </c>
    </row>
    <row r="19" spans="1:17" x14ac:dyDescent="0.3">
      <c r="G19" s="2" t="s">
        <v>20</v>
      </c>
      <c r="H19" s="4">
        <v>31.857142857142858</v>
      </c>
      <c r="L19" s="2" t="s">
        <v>22</v>
      </c>
      <c r="M19" s="4">
        <v>7.75</v>
      </c>
      <c r="P19" s="2" t="s">
        <v>20</v>
      </c>
      <c r="Q19" s="3">
        <v>7</v>
      </c>
    </row>
    <row r="20" spans="1:17" x14ac:dyDescent="0.3">
      <c r="G20" s="2" t="s">
        <v>21</v>
      </c>
      <c r="H20" s="4">
        <v>31.142857142857142</v>
      </c>
      <c r="L20" s="2" t="s">
        <v>23</v>
      </c>
      <c r="M20" s="4">
        <v>5.5</v>
      </c>
      <c r="P20" s="2" t="s">
        <v>21</v>
      </c>
      <c r="Q20" s="3">
        <v>21</v>
      </c>
    </row>
    <row r="21" spans="1:17" x14ac:dyDescent="0.3">
      <c r="G21" s="2" t="s">
        <v>22</v>
      </c>
      <c r="H21" s="4">
        <v>29.5</v>
      </c>
      <c r="L21" s="2" t="s">
        <v>24</v>
      </c>
      <c r="M21" s="4">
        <v>4.5</v>
      </c>
      <c r="P21" s="2" t="s">
        <v>22</v>
      </c>
      <c r="Q21" s="3">
        <v>16</v>
      </c>
    </row>
    <row r="22" spans="1:17" x14ac:dyDescent="0.3">
      <c r="G22" s="2" t="s">
        <v>23</v>
      </c>
      <c r="H22" s="4">
        <v>30.666666666666668</v>
      </c>
      <c r="L22" s="2" t="s">
        <v>25</v>
      </c>
      <c r="M22" s="4">
        <v>6</v>
      </c>
      <c r="P22" s="2" t="s">
        <v>23</v>
      </c>
      <c r="Q22" s="3">
        <v>15</v>
      </c>
    </row>
    <row r="23" spans="1:17" x14ac:dyDescent="0.3">
      <c r="G23" s="2" t="s">
        <v>24</v>
      </c>
      <c r="H23" s="4">
        <v>39.06666666666667</v>
      </c>
      <c r="L23" s="2" t="s">
        <v>26</v>
      </c>
      <c r="M23" s="4">
        <v>5.75</v>
      </c>
      <c r="P23" s="2" t="s">
        <v>24</v>
      </c>
      <c r="Q23" s="3">
        <v>15</v>
      </c>
    </row>
    <row r="24" spans="1:17" x14ac:dyDescent="0.3">
      <c r="A24" s="13" t="s">
        <v>49</v>
      </c>
      <c r="B24" s="13" t="s">
        <v>50</v>
      </c>
      <c r="C24" s="13" t="s">
        <v>51</v>
      </c>
      <c r="D24" s="12"/>
      <c r="G24" s="2" t="s">
        <v>25</v>
      </c>
      <c r="H24" s="4">
        <v>32.857142857142854</v>
      </c>
      <c r="L24" s="2" t="s">
        <v>27</v>
      </c>
      <c r="M24" s="4">
        <v>3.1428571428571428</v>
      </c>
      <c r="P24" s="2" t="s">
        <v>25</v>
      </c>
      <c r="Q24" s="3">
        <v>14</v>
      </c>
    </row>
    <row r="25" spans="1:17" x14ac:dyDescent="0.3">
      <c r="A25" s="14" t="str">
        <f>A17</f>
        <v>Not Admitted</v>
      </c>
      <c r="B25" s="14">
        <f>B17</f>
        <v>251</v>
      </c>
      <c r="C25" s="15">
        <f>C17</f>
        <v>0.5229166666666667</v>
      </c>
      <c r="D25" s="16"/>
      <c r="G25" s="2" t="s">
        <v>26</v>
      </c>
      <c r="H25" s="4">
        <v>38.3125</v>
      </c>
      <c r="L25" s="2" t="s">
        <v>28</v>
      </c>
      <c r="M25" s="4">
        <v>4</v>
      </c>
      <c r="P25" s="2" t="s">
        <v>26</v>
      </c>
      <c r="Q25" s="3">
        <v>16</v>
      </c>
    </row>
    <row r="26" spans="1:17" x14ac:dyDescent="0.3">
      <c r="A26" s="14" t="str">
        <f>A16</f>
        <v>Admitted</v>
      </c>
      <c r="B26" s="14">
        <f>B16</f>
        <v>229</v>
      </c>
      <c r="C26" s="15">
        <f>C16</f>
        <v>0.47708333333333336</v>
      </c>
      <c r="D26" s="16"/>
      <c r="G26" s="2" t="s">
        <v>27</v>
      </c>
      <c r="H26" s="4">
        <v>35.80952380952381</v>
      </c>
      <c r="L26" s="2" t="s">
        <v>29</v>
      </c>
      <c r="M26" s="4">
        <v>6.5</v>
      </c>
      <c r="P26" s="2" t="s">
        <v>27</v>
      </c>
      <c r="Q26" s="3">
        <v>21</v>
      </c>
    </row>
    <row r="27" spans="1:17" x14ac:dyDescent="0.3">
      <c r="G27" s="2" t="s">
        <v>28</v>
      </c>
      <c r="H27" s="4">
        <v>33.153846153846153</v>
      </c>
      <c r="L27" s="2" t="s">
        <v>30</v>
      </c>
      <c r="M27" s="4">
        <v>4</v>
      </c>
      <c r="P27" s="2" t="s">
        <v>28</v>
      </c>
      <c r="Q27" s="3">
        <v>13</v>
      </c>
    </row>
    <row r="28" spans="1:17" x14ac:dyDescent="0.3">
      <c r="G28" s="2" t="s">
        <v>29</v>
      </c>
      <c r="H28" s="4">
        <v>39.18181818181818</v>
      </c>
      <c r="L28" s="2" t="s">
        <v>31</v>
      </c>
      <c r="M28" s="4">
        <v>7.333333333333333</v>
      </c>
      <c r="P28" s="2" t="s">
        <v>29</v>
      </c>
      <c r="Q28" s="3">
        <v>11</v>
      </c>
    </row>
    <row r="29" spans="1:17" x14ac:dyDescent="0.3">
      <c r="G29" s="2" t="s">
        <v>30</v>
      </c>
      <c r="H29" s="4">
        <v>36.3125</v>
      </c>
      <c r="L29" s="2" t="s">
        <v>32</v>
      </c>
      <c r="M29" s="4">
        <v>5.333333333333333</v>
      </c>
      <c r="P29" s="2" t="s">
        <v>30</v>
      </c>
      <c r="Q29" s="3">
        <v>16</v>
      </c>
    </row>
    <row r="30" spans="1:17" x14ac:dyDescent="0.3">
      <c r="A30" s="1" t="s">
        <v>0</v>
      </c>
      <c r="B30" t="s">
        <v>60</v>
      </c>
      <c r="G30" s="2" t="s">
        <v>31</v>
      </c>
      <c r="H30" s="4">
        <v>33</v>
      </c>
      <c r="L30" s="2" t="s">
        <v>33</v>
      </c>
      <c r="M30" s="4">
        <v>4.75</v>
      </c>
      <c r="P30" s="2" t="s">
        <v>31</v>
      </c>
      <c r="Q30" s="3">
        <v>11</v>
      </c>
    </row>
    <row r="31" spans="1:17" x14ac:dyDescent="0.3">
      <c r="A31" s="2" t="s">
        <v>52</v>
      </c>
      <c r="B31" s="4">
        <v>63</v>
      </c>
      <c r="G31" s="2" t="s">
        <v>32</v>
      </c>
      <c r="H31" s="4">
        <v>32.857142857142854</v>
      </c>
      <c r="L31" s="2" t="s">
        <v>34</v>
      </c>
      <c r="M31" s="4">
        <v>4</v>
      </c>
      <c r="P31" s="2" t="s">
        <v>32</v>
      </c>
      <c r="Q31" s="3">
        <v>14</v>
      </c>
    </row>
    <row r="32" spans="1:17" x14ac:dyDescent="0.3">
      <c r="A32" s="2" t="s">
        <v>53</v>
      </c>
      <c r="B32" s="4">
        <v>49</v>
      </c>
      <c r="G32" s="2" t="s">
        <v>33</v>
      </c>
      <c r="H32" s="4">
        <v>36.799999999999997</v>
      </c>
      <c r="L32" s="2" t="s">
        <v>35</v>
      </c>
      <c r="M32" s="4">
        <v>4</v>
      </c>
      <c r="P32" s="2" t="s">
        <v>33</v>
      </c>
      <c r="Q32" s="3">
        <v>10</v>
      </c>
    </row>
    <row r="33" spans="1:17" x14ac:dyDescent="0.3">
      <c r="A33" s="2" t="s">
        <v>54</v>
      </c>
      <c r="B33" s="4">
        <v>57</v>
      </c>
      <c r="G33" s="2" t="s">
        <v>34</v>
      </c>
      <c r="H33" s="4">
        <v>32.866666666666667</v>
      </c>
      <c r="L33" s="2" t="s">
        <v>36</v>
      </c>
      <c r="M33" s="4">
        <v>8.3333333333333339</v>
      </c>
      <c r="P33" s="2" t="s">
        <v>34</v>
      </c>
      <c r="Q33" s="3">
        <v>15</v>
      </c>
    </row>
    <row r="34" spans="1:17" x14ac:dyDescent="0.3">
      <c r="A34" s="2" t="s">
        <v>55</v>
      </c>
      <c r="B34" s="4">
        <v>73</v>
      </c>
      <c r="G34" s="2" t="s">
        <v>35</v>
      </c>
      <c r="H34" s="4">
        <v>32.375</v>
      </c>
      <c r="L34" s="2" t="s">
        <v>1</v>
      </c>
      <c r="M34" s="4">
        <v>5.1640625</v>
      </c>
      <c r="P34" s="2" t="s">
        <v>35</v>
      </c>
      <c r="Q34" s="3">
        <v>24</v>
      </c>
    </row>
    <row r="35" spans="1:17" x14ac:dyDescent="0.3">
      <c r="A35" s="2" t="s">
        <v>56</v>
      </c>
      <c r="B35" s="4">
        <v>63</v>
      </c>
      <c r="G35" s="2" t="s">
        <v>36</v>
      </c>
      <c r="H35" s="4">
        <v>36</v>
      </c>
      <c r="P35" s="2" t="s">
        <v>36</v>
      </c>
      <c r="Q35" s="3">
        <v>11</v>
      </c>
    </row>
    <row r="36" spans="1:17" x14ac:dyDescent="0.3">
      <c r="A36" s="2" t="s">
        <v>57</v>
      </c>
      <c r="B36" s="4">
        <v>60</v>
      </c>
      <c r="G36" s="2" t="s">
        <v>1</v>
      </c>
      <c r="H36" s="4">
        <v>34.429166666666667</v>
      </c>
      <c r="P36" s="2" t="s">
        <v>1</v>
      </c>
      <c r="Q36" s="3">
        <v>480</v>
      </c>
    </row>
    <row r="37" spans="1:17" x14ac:dyDescent="0.3">
      <c r="A37" s="2" t="s">
        <v>58</v>
      </c>
      <c r="B37" s="4">
        <v>57</v>
      </c>
    </row>
    <row r="38" spans="1:17" x14ac:dyDescent="0.3">
      <c r="A38" s="2" t="s">
        <v>59</v>
      </c>
      <c r="B38" s="4">
        <v>58</v>
      </c>
    </row>
    <row r="39" spans="1:17" x14ac:dyDescent="0.3">
      <c r="A39" s="2" t="s">
        <v>1</v>
      </c>
      <c r="B39" s="4">
        <v>480</v>
      </c>
    </row>
    <row r="41" spans="1:17" x14ac:dyDescent="0.3">
      <c r="A41" s="2" t="s">
        <v>61</v>
      </c>
    </row>
    <row r="42" spans="1:17" x14ac:dyDescent="0.3">
      <c r="A42" s="1" t="s">
        <v>0</v>
      </c>
      <c r="B42" t="s">
        <v>43</v>
      </c>
    </row>
    <row r="43" spans="1:17" x14ac:dyDescent="0.3">
      <c r="A43" s="2" t="s">
        <v>44</v>
      </c>
      <c r="B43" s="4">
        <v>267</v>
      </c>
    </row>
    <row r="44" spans="1:17" x14ac:dyDescent="0.3">
      <c r="A44" s="2" t="s">
        <v>45</v>
      </c>
      <c r="B44" s="4">
        <v>213</v>
      </c>
    </row>
    <row r="45" spans="1:17" x14ac:dyDescent="0.3">
      <c r="A45" s="2" t="s">
        <v>1</v>
      </c>
      <c r="B45" s="4">
        <v>480</v>
      </c>
    </row>
    <row r="48" spans="1:17" x14ac:dyDescent="0.3">
      <c r="A48" s="2" t="s">
        <v>65</v>
      </c>
    </row>
    <row r="49" spans="1:2" x14ac:dyDescent="0.3">
      <c r="A49" s="1" t="s">
        <v>0</v>
      </c>
      <c r="B49" t="s">
        <v>64</v>
      </c>
    </row>
    <row r="50" spans="1:2" x14ac:dyDescent="0.3">
      <c r="A50" s="2" t="s">
        <v>62</v>
      </c>
      <c r="B50" s="4">
        <v>261</v>
      </c>
    </row>
    <row r="51" spans="1:2" x14ac:dyDescent="0.3">
      <c r="A51" s="2" t="s">
        <v>63</v>
      </c>
      <c r="B51" s="4">
        <v>219</v>
      </c>
    </row>
    <row r="52" spans="1:2" x14ac:dyDescent="0.3">
      <c r="A52" s="2" t="s">
        <v>1</v>
      </c>
      <c r="B52" s="4">
        <v>480</v>
      </c>
    </row>
    <row r="55" spans="1:2" x14ac:dyDescent="0.3">
      <c r="A55" s="1" t="s">
        <v>0</v>
      </c>
      <c r="B55" t="s">
        <v>74</v>
      </c>
    </row>
    <row r="56" spans="1:2" x14ac:dyDescent="0.3">
      <c r="A56" s="2" t="s">
        <v>73</v>
      </c>
      <c r="B56" s="9">
        <v>6</v>
      </c>
    </row>
    <row r="57" spans="1:2" x14ac:dyDescent="0.3">
      <c r="A57" s="2" t="s">
        <v>69</v>
      </c>
      <c r="B57" s="9">
        <v>11</v>
      </c>
    </row>
    <row r="58" spans="1:2" x14ac:dyDescent="0.3">
      <c r="A58" s="2" t="s">
        <v>66</v>
      </c>
      <c r="B58" s="9">
        <v>12</v>
      </c>
    </row>
    <row r="59" spans="1:2" x14ac:dyDescent="0.3">
      <c r="A59" s="2" t="s">
        <v>67</v>
      </c>
      <c r="B59" s="9">
        <v>12</v>
      </c>
    </row>
    <row r="60" spans="1:2" x14ac:dyDescent="0.3">
      <c r="A60" s="2" t="s">
        <v>72</v>
      </c>
      <c r="B60" s="9">
        <v>20</v>
      </c>
    </row>
    <row r="61" spans="1:2" x14ac:dyDescent="0.3">
      <c r="A61" s="2" t="s">
        <v>71</v>
      </c>
      <c r="B61" s="9">
        <v>35</v>
      </c>
    </row>
    <row r="62" spans="1:2" x14ac:dyDescent="0.3">
      <c r="A62" s="2" t="s">
        <v>68</v>
      </c>
      <c r="B62" s="9">
        <v>93</v>
      </c>
    </row>
    <row r="63" spans="1:2" x14ac:dyDescent="0.3">
      <c r="A63" s="2" t="s">
        <v>70</v>
      </c>
      <c r="B63" s="9">
        <v>291</v>
      </c>
    </row>
    <row r="64" spans="1:2" x14ac:dyDescent="0.3">
      <c r="A64" s="2" t="s">
        <v>1</v>
      </c>
      <c r="B64" s="9">
        <v>480</v>
      </c>
    </row>
    <row r="68" spans="1:1" x14ac:dyDescent="0.3">
      <c r="A68" s="1" t="s">
        <v>0</v>
      </c>
    </row>
    <row r="69" spans="1:1" x14ac:dyDescent="0.3">
      <c r="A69" s="2" t="s">
        <v>5</v>
      </c>
    </row>
    <row r="70" spans="1:1" x14ac:dyDescent="0.3">
      <c r="A70" s="2" t="s">
        <v>1</v>
      </c>
    </row>
  </sheetData>
  <customSheetViews>
    <customSheetView guid="{DCC95652-F2C7-4D4A-8A85-AE67624C57F9}" scale="115" showGridLines="0" topLeftCell="A16">
      <selection activeCell="O9" sqref="O9"/>
      <pageMargins left="0.7" right="0.7" top="0.75" bottom="0.75" header="0.3" footer="0.3"/>
    </customSheetView>
  </customSheetView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9F99-8D4C-47ED-976F-B798CAE1F6C8}">
  <dimension ref="A1:Q16"/>
  <sheetViews>
    <sheetView tabSelected="1" topLeftCell="B1" zoomScale="175" zoomScaleNormal="175" workbookViewId="0">
      <selection activeCell="N16" sqref="N16"/>
    </sheetView>
  </sheetViews>
  <sheetFormatPr defaultRowHeight="14.4" x14ac:dyDescent="0.3"/>
  <sheetData>
    <row r="1" spans="1:17" x14ac:dyDescent="0.3">
      <c r="A1" s="5" t="s">
        <v>42</v>
      </c>
      <c r="B1" s="5"/>
      <c r="C1" s="5"/>
      <c r="D1" s="5"/>
      <c r="E1" s="5"/>
      <c r="F1" s="5"/>
      <c r="G1" s="5"/>
      <c r="H1" s="5"/>
      <c r="I1" s="5"/>
      <c r="J1" s="5"/>
      <c r="K1" s="5"/>
      <c r="L1" s="5"/>
      <c r="M1" s="5"/>
      <c r="N1" s="5"/>
      <c r="O1" s="5"/>
      <c r="P1" s="5"/>
      <c r="Q1" s="5"/>
    </row>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f>Dashboard!A5</f>
        <v>0</v>
      </c>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N16" t="s">
        <v>42</v>
      </c>
    </row>
  </sheetData>
  <customSheetViews>
    <customSheetView guid="{DCC95652-F2C7-4D4A-8A85-AE67624C57F9}" scale="175">
      <selection activeCell="M8" sqref="M8"/>
      <pageMargins left="0.7" right="0.7" top="0.75" bottom="0.75" header="0.3" footer="0.3"/>
    </customSheetView>
  </customSheetView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DE895-4428-4514-8A8E-36286AA89FEF}">
  <dimension ref="A1:U21"/>
  <sheetViews>
    <sheetView workbookViewId="0"/>
  </sheetViews>
  <sheetFormatPr defaultRowHeight="14.4" x14ac:dyDescent="0.3"/>
  <sheetData>
    <row r="1" spans="1:21" x14ac:dyDescent="0.3">
      <c r="A1" s="6"/>
      <c r="B1" s="6"/>
      <c r="C1" s="6"/>
      <c r="D1" s="6"/>
      <c r="E1" s="6"/>
      <c r="F1" s="6"/>
      <c r="G1" s="6"/>
      <c r="H1" s="6"/>
      <c r="I1" s="6"/>
      <c r="J1" s="6"/>
      <c r="K1" s="6"/>
      <c r="L1" s="6"/>
      <c r="M1" s="6"/>
      <c r="N1" s="6"/>
      <c r="O1" s="6"/>
      <c r="P1" s="6"/>
      <c r="Q1" s="6"/>
      <c r="R1" s="6"/>
      <c r="S1" s="6"/>
      <c r="T1" s="6"/>
      <c r="U1" s="6"/>
    </row>
    <row r="2" spans="1:21" x14ac:dyDescent="0.3">
      <c r="A2" s="6"/>
      <c r="B2" s="6"/>
      <c r="C2" s="6"/>
      <c r="D2" s="6"/>
      <c r="E2" s="6"/>
      <c r="F2" s="6"/>
      <c r="G2" s="6"/>
      <c r="H2" s="6"/>
      <c r="I2" s="6"/>
      <c r="J2" s="6"/>
      <c r="K2" s="6"/>
      <c r="L2" s="6"/>
      <c r="M2" s="6"/>
      <c r="N2" s="6"/>
      <c r="O2" s="6"/>
      <c r="P2" s="6"/>
      <c r="Q2" s="6"/>
      <c r="R2" s="6"/>
      <c r="S2" s="6"/>
      <c r="T2" s="6"/>
      <c r="U2" s="6"/>
    </row>
    <row r="3" spans="1:21" x14ac:dyDescent="0.3">
      <c r="A3" s="6"/>
      <c r="B3" s="6"/>
      <c r="C3" s="6"/>
      <c r="D3" s="6"/>
      <c r="E3" s="6"/>
      <c r="F3" s="6"/>
      <c r="G3" s="6"/>
      <c r="H3" s="6"/>
      <c r="I3" s="6"/>
      <c r="J3" s="6"/>
      <c r="K3" s="6"/>
      <c r="L3" s="6"/>
      <c r="M3" s="6"/>
      <c r="N3" s="6"/>
      <c r="O3" s="6"/>
      <c r="P3" s="6"/>
      <c r="Q3" s="6"/>
      <c r="R3" s="6"/>
      <c r="S3" s="6"/>
      <c r="T3" s="6"/>
      <c r="U3" s="6"/>
    </row>
    <row r="4" spans="1:21" x14ac:dyDescent="0.3">
      <c r="A4" s="6"/>
      <c r="B4" s="6"/>
      <c r="C4" s="6"/>
      <c r="D4" s="6"/>
      <c r="E4" s="6"/>
      <c r="F4" s="6"/>
      <c r="G4" s="6"/>
      <c r="H4" s="6"/>
      <c r="I4" s="6"/>
      <c r="J4" s="6"/>
      <c r="K4" s="6"/>
      <c r="L4" s="6"/>
      <c r="M4" s="6"/>
      <c r="N4" s="6"/>
      <c r="O4" s="6"/>
      <c r="P4" s="6"/>
      <c r="Q4" s="6"/>
      <c r="R4" s="6"/>
      <c r="S4" s="6"/>
      <c r="T4" s="6"/>
      <c r="U4" s="6"/>
    </row>
    <row r="5" spans="1:21" x14ac:dyDescent="0.3">
      <c r="A5" s="6"/>
      <c r="B5" s="6"/>
      <c r="C5" s="6"/>
      <c r="D5" s="6"/>
      <c r="E5" s="6"/>
      <c r="F5" s="6"/>
      <c r="G5" s="6"/>
      <c r="H5" s="6"/>
      <c r="I5" s="6"/>
      <c r="J5" s="6"/>
      <c r="K5" s="6"/>
      <c r="L5" s="6"/>
      <c r="M5" s="6"/>
      <c r="N5" s="6"/>
      <c r="O5" s="6"/>
      <c r="P5" s="6"/>
      <c r="Q5" s="6"/>
      <c r="R5" s="6"/>
      <c r="S5" s="6"/>
      <c r="T5" s="6"/>
      <c r="U5" s="6"/>
    </row>
    <row r="6" spans="1:2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ht="18" x14ac:dyDescent="0.35">
      <c r="A18" s="6"/>
      <c r="B18" s="6"/>
      <c r="C18" s="6"/>
      <c r="D18" s="6"/>
      <c r="E18" s="8" t="s">
        <v>40</v>
      </c>
      <c r="F18" s="7"/>
      <c r="G18" s="7"/>
      <c r="H18" s="7"/>
      <c r="I18" s="7"/>
      <c r="J18" s="7"/>
      <c r="K18" s="7"/>
      <c r="L18" s="7"/>
      <c r="M18" s="7"/>
      <c r="N18" s="7"/>
      <c r="O18" s="7"/>
      <c r="P18" s="7"/>
      <c r="Q18" s="7"/>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sheetData>
  <customSheetViews>
    <customSheetView guid="{DCC95652-F2C7-4D4A-8A85-AE67624C57F9}">
      <pageMargins left="0.7" right="0.7" top="0.75" bottom="0.75" header="0.3" footer="0.3"/>
    </customSheetView>
  </customSheetViews>
  <mergeCells count="1">
    <mergeCell ref="E18:Q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B330-A5BD-45A7-8847-0DA130F7F2A3}">
  <dimension ref="A1:N23"/>
  <sheetViews>
    <sheetView zoomScale="94" zoomScaleNormal="94" workbookViewId="0"/>
  </sheetViews>
  <sheetFormatPr defaultRowHeight="14.4" x14ac:dyDescent="0.3"/>
  <sheetData>
    <row r="1" spans="1:14" x14ac:dyDescent="0.3">
      <c r="A1" s="6"/>
      <c r="B1" s="6"/>
      <c r="C1" s="6"/>
      <c r="D1" s="6"/>
      <c r="E1" s="6"/>
      <c r="F1" s="6"/>
      <c r="G1" s="6"/>
      <c r="H1" s="6"/>
      <c r="I1" s="6"/>
      <c r="J1" s="6"/>
      <c r="K1" s="6"/>
      <c r="L1" s="6"/>
      <c r="M1" s="6"/>
      <c r="N1" s="6"/>
    </row>
    <row r="2" spans="1:14" x14ac:dyDescent="0.3">
      <c r="A2" s="6"/>
      <c r="B2" s="6"/>
      <c r="C2" s="6"/>
      <c r="D2" s="6"/>
      <c r="E2" s="6"/>
      <c r="F2" s="6"/>
      <c r="G2" s="6"/>
      <c r="H2" s="6"/>
      <c r="I2" s="6"/>
      <c r="J2" s="6"/>
      <c r="K2" s="6"/>
      <c r="L2" s="6"/>
      <c r="M2" s="6"/>
      <c r="N2" s="6"/>
    </row>
    <row r="3" spans="1:14" x14ac:dyDescent="0.3">
      <c r="A3" s="6"/>
      <c r="B3" s="6"/>
      <c r="C3" s="6"/>
      <c r="D3" s="6"/>
      <c r="E3" s="6"/>
      <c r="F3" s="6"/>
      <c r="G3" s="6"/>
      <c r="H3" s="6"/>
      <c r="I3" s="6"/>
      <c r="J3" s="6"/>
      <c r="K3" s="6"/>
      <c r="L3" s="6"/>
      <c r="M3" s="6"/>
      <c r="N3" s="6"/>
    </row>
    <row r="4" spans="1:14" x14ac:dyDescent="0.3">
      <c r="A4" s="6"/>
      <c r="B4" s="6"/>
      <c r="C4" s="6"/>
      <c r="D4" s="6"/>
      <c r="E4" s="6"/>
      <c r="F4" s="6"/>
      <c r="G4" s="6"/>
      <c r="H4" s="6"/>
      <c r="I4" s="6"/>
      <c r="J4" s="6"/>
      <c r="K4" s="6"/>
      <c r="L4" s="6"/>
      <c r="M4" s="6"/>
      <c r="N4" s="6"/>
    </row>
    <row r="5" spans="1:14" x14ac:dyDescent="0.3">
      <c r="A5" s="6"/>
      <c r="B5" s="6"/>
      <c r="C5" s="6"/>
      <c r="D5" s="6"/>
      <c r="E5" s="6"/>
      <c r="F5" s="6"/>
      <c r="G5" s="6"/>
      <c r="H5" s="6"/>
      <c r="I5" s="6"/>
      <c r="J5" s="6"/>
      <c r="K5" s="6"/>
      <c r="L5" s="6"/>
      <c r="M5" s="6"/>
      <c r="N5" s="6"/>
    </row>
    <row r="6" spans="1:14" x14ac:dyDescent="0.3">
      <c r="A6" s="6"/>
      <c r="B6" s="6"/>
      <c r="C6" s="6"/>
      <c r="D6" s="6"/>
      <c r="E6" s="6"/>
      <c r="F6" s="6"/>
      <c r="G6" s="6"/>
      <c r="H6" s="6"/>
      <c r="I6" s="6"/>
      <c r="J6" s="6"/>
      <c r="K6" s="6"/>
      <c r="L6" s="6"/>
      <c r="M6" s="6"/>
      <c r="N6" s="6"/>
    </row>
    <row r="7" spans="1:14" x14ac:dyDescent="0.3">
      <c r="A7" s="6"/>
      <c r="B7" s="6"/>
      <c r="C7" s="6"/>
      <c r="D7" s="6"/>
      <c r="E7" s="6"/>
      <c r="F7" s="6"/>
      <c r="G7" s="6"/>
      <c r="H7" s="6"/>
      <c r="I7" s="6"/>
      <c r="J7" s="6"/>
      <c r="K7" s="6"/>
      <c r="L7" s="6"/>
      <c r="M7" s="6"/>
      <c r="N7" s="6"/>
    </row>
    <row r="8" spans="1:14" x14ac:dyDescent="0.3">
      <c r="A8" s="6"/>
      <c r="B8" s="6"/>
      <c r="C8" s="6"/>
      <c r="D8" s="6"/>
      <c r="E8" s="6"/>
      <c r="F8" s="6"/>
      <c r="G8" s="6"/>
      <c r="H8" s="6"/>
      <c r="I8" s="6"/>
      <c r="J8" s="6"/>
      <c r="K8" s="6"/>
      <c r="L8" s="6"/>
      <c r="M8" s="6"/>
      <c r="N8" s="6"/>
    </row>
    <row r="9" spans="1:14" x14ac:dyDescent="0.3">
      <c r="A9" s="6"/>
      <c r="B9" s="6"/>
      <c r="C9" s="6"/>
      <c r="D9" s="6"/>
      <c r="E9" s="6"/>
      <c r="F9" s="6"/>
      <c r="G9" s="6"/>
      <c r="H9" s="6"/>
      <c r="I9" s="6"/>
      <c r="J9" s="6"/>
      <c r="K9" s="6"/>
      <c r="L9" s="6"/>
      <c r="M9" s="6"/>
      <c r="N9" s="6"/>
    </row>
    <row r="10" spans="1:14" x14ac:dyDescent="0.3">
      <c r="A10" s="6"/>
      <c r="B10" s="6"/>
      <c r="C10" s="6"/>
      <c r="D10" s="6"/>
      <c r="E10" s="6"/>
      <c r="F10" s="6"/>
      <c r="G10" s="6"/>
      <c r="H10" s="6"/>
      <c r="I10" s="6"/>
      <c r="J10" s="6"/>
      <c r="K10" s="6"/>
      <c r="L10" s="6"/>
      <c r="M10" s="6"/>
      <c r="N10" s="6"/>
    </row>
    <row r="11" spans="1:14" x14ac:dyDescent="0.3">
      <c r="A11" s="6"/>
      <c r="B11" s="6"/>
      <c r="C11" s="6"/>
      <c r="D11" s="6"/>
      <c r="E11" s="6"/>
      <c r="F11" s="6"/>
      <c r="G11" s="6"/>
      <c r="H11" s="6"/>
      <c r="I11" s="6"/>
      <c r="J11" s="6"/>
      <c r="K11" s="6"/>
      <c r="L11" s="6"/>
      <c r="M11" s="6"/>
      <c r="N11" s="6"/>
    </row>
    <row r="12" spans="1:14" x14ac:dyDescent="0.3">
      <c r="A12" s="6"/>
      <c r="B12" s="6"/>
      <c r="C12" s="6"/>
      <c r="D12" s="6"/>
      <c r="E12" s="6"/>
      <c r="F12" s="6"/>
      <c r="G12" s="6"/>
      <c r="H12" s="6"/>
      <c r="I12" s="6"/>
      <c r="J12" s="6"/>
      <c r="K12" s="6"/>
      <c r="L12" s="6"/>
      <c r="M12" s="6"/>
      <c r="N12" s="6"/>
    </row>
    <row r="13" spans="1:14" x14ac:dyDescent="0.3">
      <c r="A13" s="6"/>
      <c r="B13" s="6"/>
      <c r="C13" s="6"/>
      <c r="D13" s="6"/>
      <c r="E13" s="6"/>
      <c r="F13" s="6"/>
      <c r="G13" s="6"/>
      <c r="H13" s="6"/>
      <c r="I13" s="6"/>
      <c r="J13" s="6"/>
      <c r="K13" s="6"/>
      <c r="L13" s="6"/>
      <c r="M13" s="6"/>
      <c r="N13" s="6"/>
    </row>
    <row r="14" spans="1:14" x14ac:dyDescent="0.3">
      <c r="A14" s="6"/>
      <c r="B14" s="6"/>
      <c r="C14" s="6"/>
      <c r="D14" s="6"/>
      <c r="E14" s="6"/>
      <c r="F14" s="6"/>
      <c r="G14" s="6"/>
      <c r="H14" s="6"/>
      <c r="I14" s="6"/>
      <c r="J14" s="6"/>
      <c r="K14" s="6"/>
      <c r="L14" s="6"/>
      <c r="M14" s="6"/>
      <c r="N14" s="6"/>
    </row>
    <row r="15" spans="1:14" x14ac:dyDescent="0.3">
      <c r="A15" s="6"/>
      <c r="B15" s="6"/>
      <c r="C15" s="6"/>
      <c r="D15" s="6"/>
      <c r="E15" s="6"/>
      <c r="F15" s="6"/>
      <c r="G15" s="6"/>
      <c r="H15" s="6"/>
      <c r="I15" s="6"/>
      <c r="J15" s="6"/>
      <c r="K15" s="6"/>
      <c r="L15" s="6"/>
      <c r="M15" s="6"/>
      <c r="N15" s="6"/>
    </row>
    <row r="16" spans="1:14" x14ac:dyDescent="0.3">
      <c r="A16" s="6"/>
      <c r="B16" s="6"/>
      <c r="C16" s="6"/>
      <c r="D16" s="6"/>
      <c r="E16" s="6"/>
      <c r="F16" s="6"/>
      <c r="G16" s="6"/>
      <c r="H16" s="6"/>
      <c r="I16" s="6"/>
      <c r="J16" s="6"/>
      <c r="K16" s="6"/>
      <c r="L16" s="6"/>
      <c r="M16" s="6"/>
      <c r="N16" s="6"/>
    </row>
    <row r="17" spans="1:14" x14ac:dyDescent="0.3">
      <c r="A17" s="6"/>
      <c r="B17" s="6"/>
      <c r="C17" s="6"/>
      <c r="D17" s="6"/>
      <c r="E17" s="6"/>
      <c r="F17" s="6"/>
      <c r="G17" s="6"/>
      <c r="H17" s="6"/>
      <c r="I17" s="6"/>
      <c r="J17" s="6"/>
      <c r="K17" s="6"/>
      <c r="L17" s="6"/>
      <c r="M17" s="6"/>
      <c r="N17" s="6"/>
    </row>
    <row r="18" spans="1:14" x14ac:dyDescent="0.3">
      <c r="A18" s="6"/>
      <c r="B18" s="6"/>
      <c r="C18" s="6"/>
      <c r="D18" s="6"/>
      <c r="E18" s="6"/>
      <c r="F18" s="6"/>
      <c r="G18" s="6"/>
      <c r="H18" s="6"/>
      <c r="I18" s="6"/>
      <c r="J18" s="6"/>
      <c r="K18" s="6"/>
      <c r="L18" s="6"/>
      <c r="M18" s="6"/>
      <c r="N18" s="6"/>
    </row>
    <row r="19" spans="1:14" x14ac:dyDescent="0.3">
      <c r="A19" s="6"/>
      <c r="B19" s="6"/>
      <c r="C19" s="6"/>
      <c r="D19" s="6"/>
      <c r="E19" s="6"/>
      <c r="F19" s="6"/>
      <c r="G19" s="6"/>
      <c r="H19" s="6"/>
      <c r="I19" s="6"/>
      <c r="J19" s="6"/>
      <c r="K19" s="6"/>
      <c r="L19" s="6"/>
      <c r="M19" s="6"/>
      <c r="N19" s="6"/>
    </row>
    <row r="20" spans="1:14" x14ac:dyDescent="0.3">
      <c r="A20" s="6"/>
      <c r="B20" s="6"/>
      <c r="C20" s="6"/>
      <c r="D20" s="6"/>
      <c r="E20" s="6"/>
      <c r="F20" s="6"/>
      <c r="G20" s="6"/>
      <c r="H20" s="6"/>
      <c r="I20" s="6"/>
      <c r="J20" s="6"/>
      <c r="K20" s="6"/>
      <c r="L20" s="6"/>
      <c r="M20" s="6"/>
      <c r="N20" s="6"/>
    </row>
    <row r="21" spans="1:14" x14ac:dyDescent="0.3">
      <c r="A21" s="6"/>
      <c r="B21" s="6"/>
      <c r="C21" s="6"/>
      <c r="D21" s="6"/>
      <c r="E21" s="6"/>
      <c r="F21" s="6"/>
      <c r="G21" s="6"/>
      <c r="H21" s="6"/>
      <c r="I21" s="6"/>
      <c r="J21" s="6"/>
      <c r="K21" s="6"/>
      <c r="L21" s="6"/>
      <c r="M21" s="6"/>
      <c r="N21" s="6"/>
    </row>
    <row r="22" spans="1:14" x14ac:dyDescent="0.3">
      <c r="A22" s="6"/>
      <c r="B22" s="6"/>
      <c r="C22" s="6"/>
      <c r="D22" s="6"/>
      <c r="E22" s="6"/>
      <c r="F22" s="6"/>
      <c r="G22" s="6"/>
      <c r="H22" s="6"/>
      <c r="I22" s="6"/>
      <c r="J22" s="6"/>
      <c r="K22" s="6"/>
      <c r="L22" s="6"/>
      <c r="M22" s="6"/>
      <c r="N22" s="6"/>
    </row>
    <row r="23" spans="1:14" x14ac:dyDescent="0.3">
      <c r="A23" s="6"/>
      <c r="B23" s="6"/>
      <c r="C23" s="7" t="s">
        <v>37</v>
      </c>
      <c r="D23" s="7"/>
      <c r="E23" s="7"/>
      <c r="F23" s="7"/>
      <c r="G23" s="7"/>
      <c r="H23" s="7"/>
      <c r="I23" s="7"/>
      <c r="J23" s="7"/>
      <c r="K23" s="7"/>
      <c r="L23" s="7"/>
      <c r="M23" s="7"/>
      <c r="N23" s="6"/>
    </row>
  </sheetData>
  <customSheetViews>
    <customSheetView guid="{DCC95652-F2C7-4D4A-8A85-AE67624C57F9}" scale="94">
      <pageMargins left="0.7" right="0.7" top="0.75" bottom="0.75" header="0.3" footer="0.3"/>
    </customSheetView>
  </customSheetViews>
  <mergeCells count="1">
    <mergeCell ref="C23:M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63F06-EAC9-486A-9C2B-3087BE36E6F4}">
  <dimension ref="A1:U21"/>
  <sheetViews>
    <sheetView workbookViewId="0"/>
  </sheetViews>
  <sheetFormatPr defaultRowHeight="14.4" x14ac:dyDescent="0.3"/>
  <sheetData>
    <row r="1" spans="1:21" x14ac:dyDescent="0.3">
      <c r="A1" s="6"/>
      <c r="B1" s="6"/>
      <c r="C1" s="6"/>
      <c r="D1" s="6"/>
      <c r="E1" s="6"/>
      <c r="F1" s="6"/>
      <c r="G1" s="6"/>
      <c r="H1" s="6"/>
      <c r="I1" s="6"/>
      <c r="J1" s="6"/>
      <c r="K1" s="6"/>
      <c r="L1" s="6"/>
      <c r="M1" s="6"/>
      <c r="N1" s="6"/>
      <c r="O1" s="6"/>
      <c r="P1" s="6"/>
      <c r="Q1" s="6"/>
      <c r="R1" s="6"/>
      <c r="S1" s="6"/>
      <c r="T1" s="6"/>
      <c r="U1" s="6"/>
    </row>
    <row r="2" spans="1:21" x14ac:dyDescent="0.3">
      <c r="A2" s="6"/>
      <c r="B2" s="6"/>
      <c r="C2" s="6"/>
      <c r="D2" s="6"/>
      <c r="E2" s="6"/>
      <c r="F2" s="6"/>
      <c r="G2" s="6"/>
      <c r="H2" s="6"/>
      <c r="I2" s="6"/>
      <c r="J2" s="6"/>
      <c r="K2" s="6"/>
      <c r="L2" s="6"/>
      <c r="M2" s="6"/>
      <c r="N2" s="6"/>
      <c r="O2" s="6"/>
      <c r="P2" s="6"/>
      <c r="Q2" s="6"/>
      <c r="R2" s="6"/>
      <c r="S2" s="6"/>
      <c r="T2" s="6"/>
      <c r="U2" s="6"/>
    </row>
    <row r="3" spans="1:21" x14ac:dyDescent="0.3">
      <c r="A3" s="6"/>
      <c r="B3" s="6"/>
      <c r="C3" s="6"/>
      <c r="D3" s="6"/>
      <c r="E3" s="6"/>
      <c r="F3" s="6"/>
      <c r="G3" s="6"/>
      <c r="H3" s="6"/>
      <c r="I3" s="6"/>
      <c r="J3" s="6"/>
      <c r="K3" s="6"/>
      <c r="L3" s="6"/>
      <c r="M3" s="6"/>
      <c r="N3" s="6"/>
      <c r="O3" s="6"/>
      <c r="P3" s="6"/>
      <c r="Q3" s="6"/>
      <c r="R3" s="6"/>
      <c r="S3" s="6"/>
      <c r="T3" s="6"/>
      <c r="U3" s="6"/>
    </row>
    <row r="4" spans="1:21" x14ac:dyDescent="0.3">
      <c r="A4" s="6"/>
      <c r="B4" s="6"/>
      <c r="C4" s="6"/>
      <c r="D4" s="6"/>
      <c r="E4" s="6"/>
      <c r="F4" s="6"/>
      <c r="G4" s="6"/>
      <c r="H4" s="6"/>
      <c r="I4" s="6"/>
      <c r="J4" s="6"/>
      <c r="K4" s="6"/>
      <c r="L4" s="6"/>
      <c r="M4" s="6"/>
      <c r="N4" s="6"/>
      <c r="O4" s="6"/>
      <c r="P4" s="6"/>
      <c r="Q4" s="6"/>
      <c r="R4" s="6"/>
      <c r="S4" s="6"/>
      <c r="T4" s="6"/>
      <c r="U4" s="6"/>
    </row>
    <row r="5" spans="1:21" x14ac:dyDescent="0.3">
      <c r="A5" s="6"/>
      <c r="B5" s="6"/>
      <c r="C5" s="6"/>
      <c r="D5" s="6"/>
      <c r="E5" s="6"/>
      <c r="F5" s="6"/>
      <c r="G5" s="6"/>
      <c r="H5" s="6"/>
      <c r="I5" s="6"/>
      <c r="J5" s="6"/>
      <c r="K5" s="6"/>
      <c r="L5" s="6"/>
      <c r="M5" s="6"/>
      <c r="N5" s="6"/>
      <c r="O5" s="6"/>
      <c r="P5" s="6"/>
      <c r="Q5" s="6"/>
      <c r="R5" s="6"/>
      <c r="S5" s="6"/>
      <c r="T5" s="6"/>
      <c r="U5" s="6"/>
    </row>
    <row r="6" spans="1:2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ht="18" x14ac:dyDescent="0.35">
      <c r="A18" s="6"/>
      <c r="B18" s="6"/>
      <c r="C18" s="6"/>
      <c r="D18" s="7"/>
      <c r="E18" s="7"/>
      <c r="F18" s="7"/>
      <c r="G18" s="7"/>
      <c r="H18" s="7"/>
      <c r="I18" s="7"/>
      <c r="J18" s="7"/>
      <c r="K18" s="7"/>
      <c r="L18" s="7"/>
      <c r="M18" s="7"/>
      <c r="N18" s="10"/>
      <c r="O18" s="10"/>
      <c r="P18" s="10"/>
      <c r="Q18" s="10"/>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sheetData>
  <customSheetViews>
    <customSheetView guid="{DCC95652-F2C7-4D4A-8A85-AE67624C57F9}">
      <pageMargins left="0.7" right="0.7" top="0.75" bottom="0.75" header="0.3" footer="0.3"/>
    </customSheetView>
  </customSheetViews>
  <mergeCells count="1">
    <mergeCell ref="D18:M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6AA70E4-EDC7-470D-8A78-6FB2F12742B2}">
  <ds:schemaRefs>
    <ds:schemaRef ds:uri="http://schemas.microsoft.com/DataMashup"/>
  </ds:schemaRefs>
</ds:datastoreItem>
</file>

<file path=customXml/itemProps2.xml><?xml version="1.0" encoding="utf-8"?>
<ds:datastoreItem xmlns:ds="http://schemas.openxmlformats.org/officeDocument/2006/customXml" ds:itemID="{25DFD774-F146-4278-92D1-F5A06C163885}">
  <ds:schemaRefs/>
</ds:datastoreItem>
</file>

<file path=customXml/itemProps3.xml><?xml version="1.0" encoding="utf-8"?>
<ds:datastoreItem xmlns:ds="http://schemas.openxmlformats.org/officeDocument/2006/customXml" ds:itemID="{230E0EBF-EF99-4338-B620-7B098B96C5DD}">
  <ds:schemaRefs/>
</ds:datastoreItem>
</file>

<file path=customXml/itemProps4.xml><?xml version="1.0" encoding="utf-8"?>
<ds:datastoreItem xmlns:ds="http://schemas.openxmlformats.org/officeDocument/2006/customXml" ds:itemID="{55D5E6A7-FCC4-4B1F-B865-D61A25A7C3B0}">
  <ds:schemaRefs/>
</ds:datastoreItem>
</file>

<file path=customXml/itemProps5.xml><?xml version="1.0" encoding="utf-8"?>
<ds:datastoreItem xmlns:ds="http://schemas.openxmlformats.org/officeDocument/2006/customXml" ds:itemID="{A0B9DBA5-D5FD-43D7-AE5F-BA60ED6981E3}">
  <ds:schemaRefs/>
</ds:datastoreItem>
</file>

<file path=customXml/itemProps6.xml><?xml version="1.0" encoding="utf-8"?>
<ds:datastoreItem xmlns:ds="http://schemas.openxmlformats.org/officeDocument/2006/customXml" ds:itemID="{C9531C14-1988-41C0-B6A2-E68CA4B44626}">
  <ds:schemaRefs/>
</ds:datastoreItem>
</file>

<file path=customXml/itemProps7.xml><?xml version="1.0" encoding="utf-8"?>
<ds:datastoreItem xmlns:ds="http://schemas.openxmlformats.org/officeDocument/2006/customXml" ds:itemID="{253C24FF-3302-4955-BBF0-A994D0EB3C88}">
  <ds:schemaRefs/>
</ds:datastoreItem>
</file>

<file path=customXml/itemProps8.xml><?xml version="1.0" encoding="utf-8"?>
<ds:datastoreItem xmlns:ds="http://schemas.openxmlformats.org/officeDocument/2006/customXml" ds:itemID="{E1D9A49C-8849-4750-B344-006160C958CA}">
  <ds:schemaRefs/>
</ds:datastoreItem>
</file>

<file path=customXml/itemProps9.xml><?xml version="1.0" encoding="utf-8"?>
<ds:datastoreItem xmlns:ds="http://schemas.openxmlformats.org/officeDocument/2006/customXml" ds:itemID="{7CC1CEEF-8DB4-47D1-9FE4-3F2A41ADD6F4}">
  <ds:schemaRefs/>
</ds:datastoreItem>
</file>

<file path=customXml/itemProps10.xml><?xml version="1.0" encoding="utf-8"?>
<ds:datastoreItem xmlns:ds="http://schemas.openxmlformats.org/officeDocument/2006/customXml" ds:itemID="{8D0B9635-8F30-4B5E-A8DF-D4EBB7DEBD4D}">
  <ds:schemaRefs/>
</ds:datastoreItem>
</file>

<file path=customXml/itemProps11.xml><?xml version="1.0" encoding="utf-8"?>
<ds:datastoreItem xmlns:ds="http://schemas.openxmlformats.org/officeDocument/2006/customXml" ds:itemID="{63015952-B8B0-442E-BCCD-432369926347}">
  <ds:schemaRefs/>
</ds:datastoreItem>
</file>

<file path=customXml/itemProps12.xml><?xml version="1.0" encoding="utf-8"?>
<ds:datastoreItem xmlns:ds="http://schemas.openxmlformats.org/officeDocument/2006/customXml" ds:itemID="{1DCA8072-3F93-4323-A3C9-9F004F3BE850}">
  <ds:schemaRefs/>
</ds:datastoreItem>
</file>

<file path=customXml/itemProps13.xml><?xml version="1.0" encoding="utf-8"?>
<ds:datastoreItem xmlns:ds="http://schemas.openxmlformats.org/officeDocument/2006/customXml" ds:itemID="{01E6597B-8069-4806-B903-D50E2B49DB4A}">
  <ds:schemaRefs/>
</ds:datastoreItem>
</file>

<file path=customXml/itemProps14.xml><?xml version="1.0" encoding="utf-8"?>
<ds:datastoreItem xmlns:ds="http://schemas.openxmlformats.org/officeDocument/2006/customXml" ds:itemID="{14609FD8-A17A-43A1-850E-C4ABD519634F}">
  <ds:schemaRefs/>
</ds:datastoreItem>
</file>

<file path=customXml/itemProps15.xml><?xml version="1.0" encoding="utf-8"?>
<ds:datastoreItem xmlns:ds="http://schemas.openxmlformats.org/officeDocument/2006/customXml" ds:itemID="{1B78EC67-8611-459E-88B5-3945489A51E0}">
  <ds:schemaRefs/>
</ds:datastoreItem>
</file>

<file path=customXml/itemProps16.xml><?xml version="1.0" encoding="utf-8"?>
<ds:datastoreItem xmlns:ds="http://schemas.openxmlformats.org/officeDocument/2006/customXml" ds:itemID="{D0F93513-0E9A-47BA-802D-D6CA68EA247C}">
  <ds:schemaRefs/>
</ds:datastoreItem>
</file>

<file path=customXml/itemProps17.xml><?xml version="1.0" encoding="utf-8"?>
<ds:datastoreItem xmlns:ds="http://schemas.openxmlformats.org/officeDocument/2006/customXml" ds:itemID="{C3529495-5222-4F8D-8722-A8EC67C4E70D}">
  <ds:schemaRefs/>
</ds:datastoreItem>
</file>

<file path=customXml/itemProps18.xml><?xml version="1.0" encoding="utf-8"?>
<ds:datastoreItem xmlns:ds="http://schemas.openxmlformats.org/officeDocument/2006/customXml" ds:itemID="{9C71A3CC-3C00-4C6B-80DC-0C8C57A0E1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Avg wait time daily trend</vt:lpstr>
      <vt:lpstr>Daily ER No of patients</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Raparthi</dc:creator>
  <cp:lastModifiedBy>Kiran Raparthi</cp:lastModifiedBy>
  <dcterms:created xsi:type="dcterms:W3CDTF">2026-04-10T17:13:36Z</dcterms:created>
  <dcterms:modified xsi:type="dcterms:W3CDTF">2026-04-13T14:34:23Z</dcterms:modified>
</cp:coreProperties>
</file>